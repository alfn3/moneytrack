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BUDGETING TAHUNAN" sheetId="2" state="visible" r:id="rId4"/>
    <sheet name="CATATAN PENGELUARAN" sheetId="3" state="visible" r:id="rId5"/>
    <sheet name="RINGKASAN BUDGETING" sheetId="4" state="visible" r:id="rId6"/>
    <sheet name="TRACKER ASET" sheetId="5" state="visible" r:id="rId7"/>
    <sheet name="DASHBOARD LAPORAN" sheetId="6" state="visible" r:id="rId8"/>
    <sheet name="PANDUAN" sheetId="7" state="visible" r:id="rId9"/>
  </sheets>
  <definedNames>
    <definedName function="false" hidden="false" name="Aset_Likuid" vbProcedure="false">'TRACKER ASET'!$B$5:$B$7</definedName>
    <definedName function="false" hidden="false" name="Aset_NonLikuid" vbProcedure="false">'TRACKER ASET'!$B$11:$B$15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<sst xmlns="http://schemas.openxmlformats.org/spreadsheetml/2006/main" count="179" uniqueCount="104">
  <si>
    <t xml:space="preserve">PENGATURAN &amp; KONFIGURASI</t>
  </si>
  <si>
    <t xml:space="preserve">Ubah daftar di bawah ini untuk menyesuaikan seluruh template (dropdown otomatis ikut).</t>
  </si>
  <si>
    <t xml:space="preserve">KATEGORI PENGELUARAN</t>
  </si>
  <si>
    <t xml:space="preserve">SUMBER PEMASUKAN</t>
  </si>
  <si>
    <t xml:space="preserve">REKENING BANK</t>
  </si>
  <si>
    <t xml:space="preserve">TIPE TRANSAKSI</t>
  </si>
  <si>
    <t xml:space="preserve">BULAN</t>
  </si>
  <si>
    <t xml:space="preserve">NO</t>
  </si>
  <si>
    <t xml:space="preserve">Kebutuhan Pokok</t>
  </si>
  <si>
    <t xml:space="preserve">Gaji Utama</t>
  </si>
  <si>
    <t xml:space="preserve">Rekening Utama</t>
  </si>
  <si>
    <t xml:space="preserve">Pemasukan</t>
  </si>
  <si>
    <t xml:space="preserve">Jan</t>
  </si>
  <si>
    <t xml:space="preserve">Makanan &amp; Minuman</t>
  </si>
  <si>
    <t xml:space="preserve">Gaji Tambahan</t>
  </si>
  <si>
    <t xml:space="preserve">Rekening Tabungan</t>
  </si>
  <si>
    <t xml:space="preserve">Pengeluaran</t>
  </si>
  <si>
    <t xml:space="preserve">Feb</t>
  </si>
  <si>
    <t xml:space="preserve">Transportasi</t>
  </si>
  <si>
    <t xml:space="preserve">Bonus</t>
  </si>
  <si>
    <t xml:space="preserve">E-Wallet</t>
  </si>
  <si>
    <t xml:space="preserve">Mar</t>
  </si>
  <si>
    <t xml:space="preserve">Kesehatan</t>
  </si>
  <si>
    <t xml:space="preserve">Investasi Return</t>
  </si>
  <si>
    <t xml:space="preserve">Tunai</t>
  </si>
  <si>
    <t xml:space="preserve">Apr</t>
  </si>
  <si>
    <t xml:space="preserve">Hiburan</t>
  </si>
  <si>
    <t xml:space="preserve">Lainnya</t>
  </si>
  <si>
    <t xml:space="preserve">Rekening 5</t>
  </si>
  <si>
    <t xml:space="preserve">Mei</t>
  </si>
  <si>
    <t xml:space="preserve">Pendidikan</t>
  </si>
  <si>
    <t xml:space="preserve">Rekening 6</t>
  </si>
  <si>
    <t xml:space="preserve">Jun</t>
  </si>
  <si>
    <t xml:space="preserve">Utilitas &amp; Listrik</t>
  </si>
  <si>
    <t xml:space="preserve">Jul</t>
  </si>
  <si>
    <t xml:space="preserve">Cicilan</t>
  </si>
  <si>
    <t xml:space="preserve">Agu</t>
  </si>
  <si>
    <t xml:space="preserve">Belanja Pribadi</t>
  </si>
  <si>
    <t xml:space="preserve">Sep</t>
  </si>
  <si>
    <t xml:space="preserve">Sosial &amp; Amal</t>
  </si>
  <si>
    <t xml:space="preserve">Okt</t>
  </si>
  <si>
    <t xml:space="preserve">Nov</t>
  </si>
  <si>
    <t xml:space="preserve">Des</t>
  </si>
  <si>
    <t xml:space="preserve">RENCANA BUDGETING TAHUNAN</t>
  </si>
  <si>
    <t xml:space="preserve">Isi rencana anggaran per kategori untuk tiap bulan (kolom kuning).</t>
  </si>
  <si>
    <t xml:space="preserve">Kategori</t>
  </si>
  <si>
    <t xml:space="preserve">TOTAL PENGELUARAN</t>
  </si>
  <si>
    <t xml:space="preserve">TARGET TABUNGAN</t>
  </si>
  <si>
    <t xml:space="preserve">RENCANA PEMASUKAN</t>
  </si>
  <si>
    <t xml:space="preserve">CATATAN TRANSAKSI (PEMASUKAN &amp; PENGELUARAN)</t>
  </si>
  <si>
    <t xml:space="preserve">Kolom H (Bulan) otomatis, jangan diedit. Kategori/Akun/Tipe pakai dropdown.</t>
  </si>
  <si>
    <t xml:space="preserve">Tanggal</t>
  </si>
  <si>
    <t xml:space="preserve">Tipe</t>
  </si>
  <si>
    <t xml:space="preserve">Keterangan</t>
  </si>
  <si>
    <t xml:space="preserve">Akun</t>
  </si>
  <si>
    <t xml:space="preserve">Jumlah</t>
  </si>
  <si>
    <t xml:space="preserve">Saldo Berjalan</t>
  </si>
  <si>
    <t xml:space="preserve">Bulan</t>
  </si>
  <si>
    <t xml:space="preserve">RINGKASAN: BUDGET vs REALISASI</t>
  </si>
  <si>
    <t xml:space="preserve">Pilih Bulan:</t>
  </si>
  <si>
    <t xml:space="preserve">Budget</t>
  </si>
  <si>
    <t xml:space="preserve">Realisasi</t>
  </si>
  <si>
    <t xml:space="preserve">Sisa</t>
  </si>
  <si>
    <t xml:space="preserve">Persentase</t>
  </si>
  <si>
    <t xml:space="preserve">TOTAL</t>
  </si>
  <si>
    <t xml:space="preserve">PENCATATAN ASET</t>
  </si>
  <si>
    <t xml:space="preserve">ASET LIKUID (Mudah Dicairkan)</t>
  </si>
  <si>
    <t xml:space="preserve">Jenis Aset</t>
  </si>
  <si>
    <t xml:space="preserve">Nilai Saat Ini</t>
  </si>
  <si>
    <t xml:space="preserve">Target</t>
  </si>
  <si>
    <t xml:space="preserve">Progress</t>
  </si>
  <si>
    <t xml:space="preserve">Tanggal Update</t>
  </si>
  <si>
    <t xml:space="preserve">Catatan</t>
  </si>
  <si>
    <t xml:space="preserve">Tabungan Bank</t>
  </si>
  <si>
    <t xml:space="preserve">Uang Tunai</t>
  </si>
  <si>
    <t xml:space="preserve">ASET NON-LIKUID (Investasi)</t>
  </si>
  <si>
    <t xml:space="preserve">Emas</t>
  </si>
  <si>
    <t xml:space="preserve">Saham</t>
  </si>
  <si>
    <t xml:space="preserve">Crypto</t>
  </si>
  <si>
    <t xml:space="preserve">Deposito</t>
  </si>
  <si>
    <t xml:space="preserve">Reksa Dana</t>
  </si>
  <si>
    <t xml:space="preserve">TOTAL ASET KESELURUHAN</t>
  </si>
  <si>
    <t xml:space="preserve">DASHBOARD LAPORAN KEUANGAN PRIBADI</t>
  </si>
  <si>
    <t xml:space="preserve">PEMASUKAN</t>
  </si>
  <si>
    <t xml:space="preserve">PENGELUARAN</t>
  </si>
  <si>
    <t xml:space="preserve">TABUNGAN</t>
  </si>
  <si>
    <t xml:space="preserve">SISA BUDGET</t>
  </si>
  <si>
    <t xml:space="preserve">PENGELUARAN PER KATEGORI (BULAN TERPILIH)</t>
  </si>
  <si>
    <t xml:space="preserve">TREND BULANAN (SETAHUN)</t>
  </si>
  <si>
    <t xml:space="preserve">PANDUAN PENGGUNAAN TEMPLATE BUDGETING</t>
  </si>
  <si>
    <t xml:space="preserve">1. SETTINGS</t>
  </si>
  <si>
    <t xml:space="preserve">Atur kategori, sumber pemasukan, rekening bank, dan tipe transaksi di sini. Semua dropdown di sheet lain menarik dari daftar ini - ubah di sini akan otomatis ter-update di semua sheet.</t>
  </si>
  <si>
    <t xml:space="preserve">2. BUDGETING TAHUNAN</t>
  </si>
  <si>
    <t xml:space="preserve">Isi rencana anggaran per kategori untuk tiap bulan (kolom kuning). Baris Total, Target Tabungan, dan Rencana Pemasukan dihitung/isi di baris paling bawah.</t>
  </si>
  <si>
    <t xml:space="preserve">3. CATATAN PENGELUARAN</t>
  </si>
  <si>
    <t xml:space="preserve">Catat SETIAP transaksi (pemasukan maupun pengeluaran) di sini: tanggal, tipe (dropdown), kategori (dropdown), keterangan, akun (dropdown), dan jumlah. Kolom Saldo Berjalan dan Bulan otomatis terhitung - jangan diedit manual.</t>
  </si>
  <si>
    <t xml:space="preserve">4. RINGKASAN BUDGETING</t>
  </si>
  <si>
    <t xml:space="preserve">Pilih bulan di sel B3, lalu tabel otomatis membandingkan Budget vs Realisasi per kategori berdasarkan data di Catatan Pengeluaran. Baris berwarna merah = kategori sudah over budget.</t>
  </si>
  <si>
    <t xml:space="preserve">5. TRACKER ASET</t>
  </si>
  <si>
    <t xml:space="preserve">Catat aset likuid (tabungan, e-wallet, tunai) dan non-likuid (emas, saham, crypto, dll). Kolom Progress otomatis menghitung capaian terhadap target.</t>
  </si>
  <si>
    <t xml:space="preserve">6. DASHBOARD LAPORAN</t>
  </si>
  <si>
    <t xml:space="preserve">Pilih bulan di sel B3 untuk melihat ringkasan Pemasukan, Pengeluaran, Tabungan, dan Sisa Budget bulan itu, lengkap dengan pie chart kategori dan bar chart tren pemasukan vs pengeluaran sepanjang tahun.</t>
  </si>
  <si>
    <t xml:space="preserve">CATATAN PENTING</t>
  </si>
  <si>
    <t xml:space="preserve">Jangan hapus/pindah kolom H (Bulan) di Catatan Pengeluaran - kolom ini disembunyikan tapi dipakai formula. Saat menambah baris di Tracker Aset, sisipkan baris DI DALAM blok yang ada (bukan di atas/bawahnya) agar Total Aset tetap otomatis ikut.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</si>
</sst>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p&quot;#,##0;[RED]&quot;(Rp&quot;#,##0\);\-"/>
    <numFmt numFmtId="166" formatCode="dd/mm/yyyy"/>
    <numFmt numFmtId="167" formatCode="0.0%"/>
    <numFmt numFmtId="168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0B05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4472C4"/>
      <name val="Arial"/>
      <family val="0"/>
      <charset val="1"/>
    </font>
    <font>
      <b val="true"/>
      <sz val="12"/>
      <color rgb="FF70AD47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E7E6E6"/>
        <bgColor rgb="FFD9E1F2"/>
      </patternFill>
    </fill>
    <fill>
      <patternFill patternType="solid">
        <fgColor rgb="FFFFFFCC"/>
        <bgColor rgb="FFFFFFFF"/>
      </patternFill>
    </fill>
    <fill>
      <patternFill patternType="solid">
        <fgColor rgb="FFC6E0B4"/>
        <bgColor rgb="FFD9D9D9"/>
      </patternFill>
    </fill>
    <fill>
      <patternFill patternType="solid">
        <fgColor rgb="FFF4B084"/>
        <bgColor rgb="FFD09493"/>
      </patternFill>
    </fill>
    <fill>
      <patternFill patternType="solid">
        <fgColor rgb="FFC00000"/>
        <bgColor rgb="FF9C0006"/>
      </patternFill>
    </fill>
    <fill>
      <patternFill patternType="solid">
        <fgColor rgb="FF00B050"/>
        <bgColor rgb="FF008000"/>
      </patternFill>
    </fill>
    <fill>
      <patternFill patternType="solid">
        <fgColor rgb="FF4472C4"/>
        <bgColor rgb="FF4672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AA64F"/>
      <rgbColor rgb="FF800080"/>
      <rgbColor rgb="FF00B050"/>
      <rgbColor rgb="FFB8CD97"/>
      <rgbColor rgb="FF808080"/>
      <rgbColor rgb="FF93A9CE"/>
      <rgbColor rgb="FFAB4744"/>
      <rgbColor rgb="FFFFFFCC"/>
      <rgbColor rgb="FFD9E1F2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C00000"/>
      <rgbColor rgb="FF4F81BD"/>
      <rgbColor rgb="FF0000FF"/>
      <rgbColor rgb="FF00CCFF"/>
      <rgbColor rgb="FFE7E6E6"/>
      <rgbColor rgb="FFC6E0B4"/>
      <rgbColor rgb="FFFFFF99"/>
      <rgbColor rgb="FF92C3D5"/>
      <rgbColor rgb="FFF4B084"/>
      <rgbColor rgb="FFA99BBD"/>
      <rgbColor rgb="FFFFC7CE"/>
      <rgbColor rgb="FF4472C4"/>
      <rgbColor rgb="FF33CCCC"/>
      <rgbColor rgb="FF70AD47"/>
      <rgbColor rgb="FFFFC000"/>
      <rgbColor rgb="FFD09493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C0504D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Pengeluaran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'DASHBOARD LAPORAN'!B10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'DASHBOARD LAPORAN'!$A$11:$A$21</c:f>
              <c:strCache>
                <c:ptCount val="11"/>
                <c:pt idx="0">
                  <c:v>Kebutuhan Pokok</c:v>
                </c:pt>
                <c:pt idx="1">
                  <c:v>Makanan &amp; Minuman</c:v>
                </c:pt>
                <c:pt idx="2">
                  <c:v>Transportasi</c:v>
                </c:pt>
                <c:pt idx="3">
                  <c:v>Kesehatan</c:v>
                </c:pt>
                <c:pt idx="4">
                  <c:v>Hiburan</c:v>
                </c:pt>
                <c:pt idx="5">
                  <c:v>Pendidikan</c:v>
                </c:pt>
                <c:pt idx="6">
                  <c:v>Utilitas &amp; Listrik</c:v>
                </c:pt>
                <c:pt idx="7">
                  <c:v>Cicilan</c:v>
                </c:pt>
                <c:pt idx="8">
                  <c:v>Belanja Pribadi</c:v>
                </c:pt>
                <c:pt idx="9">
                  <c:v>Sosial &amp; Amal</c:v>
                </c:pt>
                <c:pt idx="10">
                  <c:v>Lainnya</c:v>
                </c:pt>
              </c:strCache>
            </c:strRef>
          </c:cat>
          <c:val>
            <c:numRef>
              <c:f>'DASHBOARD LAPORAN'!$B$11:$B$21</c:f>
              <c:numCache>
                <c:formatCode>"Rp"#,##0;[RED]"(Rp"#,##0\);\-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Tren Pemasukan vs Pengeluaran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LAPORAN'!G10</c:f>
              <c:strCache>
                <c:ptCount val="1"/>
                <c:pt idx="0">
                  <c:v>Pemasukan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LAPORAN'!$F$11:$F$22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'DASHBOARD LAPORAN'!$G$11:$G$22</c:f>
              <c:numCache>
                <c:formatCode>"Rp"#,##0;[RED]"(Rp"#,##0\);\-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'DASHBOARD LAPORAN'!H10</c:f>
              <c:strCache>
                <c:ptCount val="1"/>
                <c:pt idx="0">
                  <c:v>Pengeluaran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LAPORAN'!$F$11:$F$22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'DASHBOARD LAPORAN'!$H$11:$H$22</c:f>
              <c:numCache>
                <c:formatCode>"Rp"#,##0;[RED]"(Rp"#,##0\);\-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978667"/>
        <c:axId val="60997264"/>
      </c:barChart>
      <c:catAx>
        <c:axId val="6978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97264"/>
        <c:crosses val="autoZero"/>
        <c:auto val="1"/>
        <c:lblAlgn val="ctr"/>
        <c:lblOffset val="100"/>
        <c:noMultiLvlLbl val="0"/>
      </c:catAx>
      <c:valAx>
        <c:axId val="60997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&quot;#,##0;[RED]&quot;(Rp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86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160920</xdr:rowOff>
    </xdr:from>
    <xdr:to>
      <xdr:col>4</xdr:col>
      <xdr:colOff>795240</xdr:colOff>
      <xdr:row>38</xdr:row>
      <xdr:rowOff>182880</xdr:rowOff>
    </xdr:to>
    <xdr:graphicFrame>
      <xdr:nvGraphicFramePr>
        <xdr:cNvPr id="0" name="Chart 1"/>
        <xdr:cNvGraphicFramePr/>
      </xdr:nvGraphicFramePr>
      <xdr:xfrm>
        <a:off x="0" y="46864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160920</xdr:rowOff>
    </xdr:from>
    <xdr:to>
      <xdr:col>13</xdr:col>
      <xdr:colOff>164520</xdr:colOff>
      <xdr:row>38</xdr:row>
      <xdr:rowOff>182880</xdr:rowOff>
    </xdr:to>
    <xdr:graphicFrame>
      <xdr:nvGraphicFramePr>
        <xdr:cNvPr id="1" name="Chart 2"/>
        <xdr:cNvGraphicFramePr/>
      </xdr:nvGraphicFramePr>
      <xdr:xfrm>
        <a:off x="4370040" y="4686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"/>
    <col collapsed="false" customWidth="true" hidden="false" outlineLevel="0" max="3" min="3" style="0" width="20"/>
    <col collapsed="false" customWidth="true" hidden="false" outlineLevel="0" max="4" min="4" style="0" width="2"/>
    <col collapsed="false" customWidth="true" hidden="false" outlineLevel="0" max="5" min="5" style="0" width="20"/>
    <col collapsed="false" customWidth="true" hidden="false" outlineLevel="0" max="6" min="6" style="0" width="2"/>
    <col collapsed="false" customWidth="true" hidden="false" outlineLevel="0" max="7" min="7" style="0" width="16"/>
    <col collapsed="false" customWidth="true" hidden="false" outlineLevel="0" max="8" min="8" style="0" width="2"/>
    <col collapsed="false" customWidth="true" hidden="false" outlineLevel="0" max="9" min="9" style="0" width="8"/>
    <col collapsed="false" customWidth="true" hidden="false" outlineLevel="0" max="10" min="10" style="0" width="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C3" s="3" t="s">
        <v>3</v>
      </c>
      <c r="E3" s="3" t="s">
        <v>4</v>
      </c>
      <c r="G3" s="3" t="s">
        <v>5</v>
      </c>
      <c r="I3" s="3" t="s">
        <v>6</v>
      </c>
      <c r="J3" s="3" t="s">
        <v>7</v>
      </c>
    </row>
    <row r="4" customFormat="false" ht="15" hidden="false" customHeight="false" outlineLevel="0" collapsed="false">
      <c r="A4" s="4" t="s">
        <v>8</v>
      </c>
      <c r="C4" s="4" t="s">
        <v>9</v>
      </c>
      <c r="E4" s="4" t="s">
        <v>10</v>
      </c>
      <c r="G4" s="4" t="s">
        <v>11</v>
      </c>
      <c r="I4" s="4" t="s">
        <v>12</v>
      </c>
      <c r="J4" s="4" t="n">
        <v>1</v>
      </c>
    </row>
    <row r="5" customFormat="false" ht="15" hidden="false" customHeight="false" outlineLevel="0" collapsed="false">
      <c r="A5" s="4" t="s">
        <v>13</v>
      </c>
      <c r="C5" s="4" t="s">
        <v>14</v>
      </c>
      <c r="E5" s="4" t="s">
        <v>15</v>
      </c>
      <c r="G5" s="4" t="s">
        <v>16</v>
      </c>
      <c r="I5" s="4" t="s">
        <v>17</v>
      </c>
      <c r="J5" s="4" t="n">
        <v>2</v>
      </c>
    </row>
    <row r="6" customFormat="false" ht="15" hidden="false" customHeight="false" outlineLevel="0" collapsed="false">
      <c r="A6" s="4" t="s">
        <v>18</v>
      </c>
      <c r="C6" s="4" t="s">
        <v>19</v>
      </c>
      <c r="E6" s="4" t="s">
        <v>20</v>
      </c>
      <c r="I6" s="4" t="s">
        <v>21</v>
      </c>
      <c r="J6" s="4" t="n">
        <v>3</v>
      </c>
    </row>
    <row r="7" customFormat="false" ht="15" hidden="false" customHeight="false" outlineLevel="0" collapsed="false">
      <c r="A7" s="4" t="s">
        <v>22</v>
      </c>
      <c r="C7" s="4" t="s">
        <v>23</v>
      </c>
      <c r="E7" s="4" t="s">
        <v>24</v>
      </c>
      <c r="I7" s="4" t="s">
        <v>25</v>
      </c>
      <c r="J7" s="4" t="n">
        <v>4</v>
      </c>
    </row>
    <row r="8" customFormat="false" ht="15" hidden="false" customHeight="false" outlineLevel="0" collapsed="false">
      <c r="A8" s="4" t="s">
        <v>26</v>
      </c>
      <c r="C8" s="4" t="s">
        <v>27</v>
      </c>
      <c r="E8" s="4" t="s">
        <v>28</v>
      </c>
      <c r="I8" s="4" t="s">
        <v>29</v>
      </c>
      <c r="J8" s="4" t="n">
        <v>5</v>
      </c>
    </row>
    <row r="9" customFormat="false" ht="15" hidden="false" customHeight="false" outlineLevel="0" collapsed="false">
      <c r="A9" s="4" t="s">
        <v>30</v>
      </c>
      <c r="E9" s="4" t="s">
        <v>31</v>
      </c>
      <c r="I9" s="4" t="s">
        <v>32</v>
      </c>
      <c r="J9" s="4" t="n">
        <v>6</v>
      </c>
    </row>
    <row r="10" customFormat="false" ht="15" hidden="false" customHeight="false" outlineLevel="0" collapsed="false">
      <c r="A10" s="4" t="s">
        <v>33</v>
      </c>
      <c r="I10" s="4" t="s">
        <v>34</v>
      </c>
      <c r="J10" s="4" t="n">
        <v>7</v>
      </c>
    </row>
    <row r="11" customFormat="false" ht="15" hidden="false" customHeight="false" outlineLevel="0" collapsed="false">
      <c r="A11" s="4" t="s">
        <v>35</v>
      </c>
      <c r="I11" s="4" t="s">
        <v>36</v>
      </c>
      <c r="J11" s="4" t="n">
        <v>8</v>
      </c>
    </row>
    <row r="12" customFormat="false" ht="15" hidden="false" customHeight="false" outlineLevel="0" collapsed="false">
      <c r="A12" s="4" t="s">
        <v>37</v>
      </c>
      <c r="I12" s="4" t="s">
        <v>38</v>
      </c>
      <c r="J12" s="4" t="n">
        <v>9</v>
      </c>
    </row>
    <row r="13" customFormat="false" ht="15" hidden="false" customHeight="false" outlineLevel="0" collapsed="false">
      <c r="A13" s="4" t="s">
        <v>39</v>
      </c>
      <c r="I13" s="4" t="s">
        <v>40</v>
      </c>
      <c r="J13" s="4" t="n">
        <v>10</v>
      </c>
    </row>
    <row r="14" customFormat="false" ht="15" hidden="false" customHeight="false" outlineLevel="0" collapsed="false">
      <c r="A14" s="4" t="s">
        <v>27</v>
      </c>
      <c r="I14" s="4" t="s">
        <v>41</v>
      </c>
      <c r="J14" s="4" t="n">
        <v>11</v>
      </c>
    </row>
    <row r="15" customFormat="false" ht="15" hidden="false" customHeight="false" outlineLevel="0" collapsed="false">
      <c r="I15" s="4" t="s">
        <v>42</v>
      </c>
      <c r="J15" s="4" t="n">
        <v>12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2"/>
  </cols>
  <sheetData>
    <row r="1" customFormat="false" ht="15" hidden="false" customHeight="false" outlineLevel="0" collapsed="false">
      <c r="A1" s="5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6" t="s">
        <v>45</v>
      </c>
      <c r="B3" s="6" t="s">
        <v>12</v>
      </c>
      <c r="C3" s="6" t="s">
        <v>17</v>
      </c>
      <c r="D3" s="6" t="s">
        <v>21</v>
      </c>
      <c r="E3" s="6" t="s">
        <v>25</v>
      </c>
      <c r="F3" s="6" t="s">
        <v>29</v>
      </c>
      <c r="G3" s="6" t="s">
        <v>32</v>
      </c>
      <c r="H3" s="6" t="s">
        <v>34</v>
      </c>
      <c r="I3" s="6" t="s">
        <v>36</v>
      </c>
      <c r="J3" s="6" t="s">
        <v>38</v>
      </c>
      <c r="K3" s="6" t="s">
        <v>40</v>
      </c>
      <c r="L3" s="6" t="s">
        <v>41</v>
      </c>
      <c r="M3" s="6" t="s">
        <v>42</v>
      </c>
    </row>
    <row r="4" customFormat="false" ht="15" hidden="false" customHeight="false" outlineLevel="0" collapsed="false">
      <c r="A4" s="7" t="s">
        <v>8</v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</row>
    <row r="5" customFormat="false" ht="15" hidden="false" customHeight="false" outlineLevel="0" collapsed="false">
      <c r="A5" s="7" t="s">
        <v>13</v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</row>
    <row r="6" customFormat="false" ht="15" hidden="false" customHeight="false" outlineLevel="0" collapsed="false">
      <c r="A6" s="7" t="s">
        <v>18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</row>
    <row r="7" customFormat="false" ht="15" hidden="false" customHeight="false" outlineLevel="0" collapsed="false">
      <c r="A7" s="7" t="s">
        <v>22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</row>
    <row r="8" customFormat="false" ht="15" hidden="false" customHeight="false" outlineLevel="0" collapsed="false">
      <c r="A8" s="7" t="s">
        <v>26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</row>
    <row r="9" customFormat="false" ht="15" hidden="false" customHeight="false" outlineLevel="0" collapsed="false">
      <c r="A9" s="7" t="s">
        <v>30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 customFormat="false" ht="15" hidden="false" customHeight="false" outlineLevel="0" collapsed="false">
      <c r="A10" s="7" t="s">
        <v>33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</row>
    <row r="11" customFormat="false" ht="15" hidden="false" customHeight="false" outlineLevel="0" collapsed="false">
      <c r="A11" s="7" t="s">
        <v>35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</row>
    <row r="12" customFormat="false" ht="15" hidden="false" customHeight="false" outlineLevel="0" collapsed="false">
      <c r="A12" s="7" t="s">
        <v>37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</row>
    <row r="13" customFormat="false" ht="15" hidden="false" customHeight="false" outlineLevel="0" collapsed="false">
      <c r="A13" s="7" t="s">
        <v>39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</row>
    <row r="14" customFormat="false" ht="15" hidden="false" customHeight="false" outlineLevel="0" collapsed="false">
      <c r="A14" s="7" t="s">
        <v>27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</row>
    <row r="15" customFormat="false" ht="15" hidden="false" customHeight="false" outlineLevel="0" collapsed="false">
      <c r="A15" s="9" t="s">
        <v>46</v>
      </c>
      <c r="B15" s="10" t="n">
        <f aca="false">SUM(B4:B14)</f>
        <v>0</v>
      </c>
      <c r="C15" s="10" t="n">
        <f aca="false">SUM(C4:C14)</f>
        <v>0</v>
      </c>
      <c r="D15" s="10" t="n">
        <f aca="false">SUM(D4:D14)</f>
        <v>0</v>
      </c>
      <c r="E15" s="10" t="n">
        <f aca="false">SUM(E4:E14)</f>
        <v>0</v>
      </c>
      <c r="F15" s="10" t="n">
        <f aca="false">SUM(F4:F14)</f>
        <v>0</v>
      </c>
      <c r="G15" s="10" t="n">
        <f aca="false">SUM(G4:G14)</f>
        <v>0</v>
      </c>
      <c r="H15" s="10" t="n">
        <f aca="false">SUM(H4:H14)</f>
        <v>0</v>
      </c>
      <c r="I15" s="10" t="n">
        <f aca="false">SUM(I4:I14)</f>
        <v>0</v>
      </c>
      <c r="J15" s="10" t="n">
        <f aca="false">SUM(J4:J14)</f>
        <v>0</v>
      </c>
      <c r="K15" s="10" t="n">
        <f aca="false">SUM(K4:K14)</f>
        <v>0</v>
      </c>
      <c r="L15" s="10" t="n">
        <f aca="false">SUM(L4:L14)</f>
        <v>0</v>
      </c>
      <c r="M15" s="10" t="n">
        <f aca="false">SUM(M4:M14)</f>
        <v>0</v>
      </c>
    </row>
    <row r="16" customFormat="false" ht="15" hidden="false" customHeight="false" outlineLevel="0" collapsed="false">
      <c r="A16" s="11" t="s">
        <v>47</v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</row>
    <row r="17" customFormat="false" ht="15" hidden="false" customHeight="false" outlineLevel="0" collapsed="false">
      <c r="A17" s="13" t="s">
        <v>48</v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true" outlineLevel="0" max="8" min="8" style="0" width="8"/>
  </cols>
  <sheetData>
    <row r="1" customFormat="false" ht="15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50</v>
      </c>
      <c r="B2" s="2"/>
      <c r="C2" s="2"/>
      <c r="D2" s="2"/>
      <c r="E2" s="2"/>
      <c r="F2" s="2"/>
      <c r="G2" s="2"/>
      <c r="H2" s="2"/>
    </row>
    <row r="3" customFormat="false" ht="26.85" hidden="false" customHeight="false" outlineLevel="0" collapsed="false">
      <c r="A3" s="6" t="s">
        <v>51</v>
      </c>
      <c r="B3" s="6" t="s">
        <v>52</v>
      </c>
      <c r="C3" s="6" t="s">
        <v>45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</row>
    <row r="4" customFormat="false" ht="15" hidden="false" customHeight="false" outlineLevel="0" collapsed="false">
      <c r="A4" s="14"/>
      <c r="B4" s="15"/>
      <c r="C4" s="15"/>
      <c r="D4" s="15"/>
      <c r="E4" s="15"/>
      <c r="F4" s="16"/>
      <c r="G4" s="16" t="str">
        <f aca="false">IF(A4="","",N(G3)+IF(B4="Pemasukan",F4,-F4))</f>
        <v/>
      </c>
      <c r="H4" s="15" t="str">
        <f aca="false">IF(A4="","",MONTH(A4))</f>
        <v/>
      </c>
    </row>
    <row r="5" customFormat="false" ht="15" hidden="false" customHeight="false" outlineLevel="0" collapsed="false">
      <c r="A5" s="14"/>
      <c r="B5" s="15"/>
      <c r="C5" s="15"/>
      <c r="D5" s="15"/>
      <c r="E5" s="15"/>
      <c r="F5" s="16"/>
      <c r="G5" s="16" t="str">
        <f aca="false">IF(A5="","",N(G4)+IF(B5="Pemasukan",F5,-F5))</f>
        <v/>
      </c>
      <c r="H5" s="15" t="str">
        <f aca="false">IF(A5="","",MONTH(A5))</f>
        <v/>
      </c>
    </row>
    <row r="6" customFormat="false" ht="15" hidden="false" customHeight="false" outlineLevel="0" collapsed="false">
      <c r="A6" s="14"/>
      <c r="B6" s="15"/>
      <c r="C6" s="15"/>
      <c r="D6" s="15"/>
      <c r="E6" s="15"/>
      <c r="F6" s="16"/>
      <c r="G6" s="16" t="str">
        <f aca="false">IF(A6="","",N(G5)+IF(B6="Pemasukan",F6,-F6))</f>
        <v/>
      </c>
      <c r="H6" s="15" t="str">
        <f aca="false">IF(A6="","",MONTH(A6))</f>
        <v/>
      </c>
    </row>
    <row r="7" customFormat="false" ht="15" hidden="false" customHeight="false" outlineLevel="0" collapsed="false">
      <c r="A7" s="14"/>
      <c r="B7" s="15"/>
      <c r="C7" s="15"/>
      <c r="D7" s="15"/>
      <c r="E7" s="15"/>
      <c r="F7" s="16"/>
      <c r="G7" s="16" t="str">
        <f aca="false">IF(A7="","",N(G6)+IF(B7="Pemasukan",F7,-F7))</f>
        <v/>
      </c>
      <c r="H7" s="15" t="str">
        <f aca="false">IF(A7="","",MONTH(A7))</f>
        <v/>
      </c>
    </row>
    <row r="8" customFormat="false" ht="15" hidden="false" customHeight="false" outlineLevel="0" collapsed="false">
      <c r="A8" s="14"/>
      <c r="B8" s="15"/>
      <c r="C8" s="15"/>
      <c r="D8" s="15"/>
      <c r="E8" s="15"/>
      <c r="F8" s="16"/>
      <c r="G8" s="16" t="str">
        <f aca="false">IF(A8="","",N(G7)+IF(B8="Pemasukan",F8,-F8))</f>
        <v/>
      </c>
      <c r="H8" s="15" t="str">
        <f aca="false">IF(A8="","",MONTH(A8))</f>
        <v/>
      </c>
    </row>
    <row r="9" customFormat="false" ht="15" hidden="false" customHeight="false" outlineLevel="0" collapsed="false">
      <c r="A9" s="14"/>
      <c r="B9" s="15"/>
      <c r="C9" s="15"/>
      <c r="D9" s="15"/>
      <c r="E9" s="15"/>
      <c r="F9" s="16"/>
      <c r="G9" s="16" t="str">
        <f aca="false">IF(A9="","",N(G8)+IF(B9="Pemasukan",F9,-F9))</f>
        <v/>
      </c>
      <c r="H9" s="15" t="str">
        <f aca="false">IF(A9="","",MONTH(A9))</f>
        <v/>
      </c>
    </row>
    <row r="10" customFormat="false" ht="15" hidden="false" customHeight="false" outlineLevel="0" collapsed="false">
      <c r="A10" s="14"/>
      <c r="B10" s="15"/>
      <c r="C10" s="15"/>
      <c r="D10" s="15"/>
      <c r="E10" s="15"/>
      <c r="F10" s="16"/>
      <c r="G10" s="16" t="str">
        <f aca="false">IF(A10="","",N(G9)+IF(B10="Pemasukan",F10,-F10))</f>
        <v/>
      </c>
      <c r="H10" s="15" t="str">
        <f aca="false">IF(A10="","",MONTH(A10))</f>
        <v/>
      </c>
    </row>
    <row r="11" customFormat="false" ht="15" hidden="false" customHeight="false" outlineLevel="0" collapsed="false">
      <c r="A11" s="14"/>
      <c r="B11" s="15"/>
      <c r="C11" s="15"/>
      <c r="D11" s="15"/>
      <c r="E11" s="15"/>
      <c r="F11" s="16"/>
      <c r="G11" s="16" t="str">
        <f aca="false">IF(A11="","",N(G10)+IF(B11="Pemasukan",F11,-F11))</f>
        <v/>
      </c>
      <c r="H11" s="15" t="str">
        <f aca="false">IF(A11="","",MONTH(A11))</f>
        <v/>
      </c>
    </row>
    <row r="12" customFormat="false" ht="15" hidden="false" customHeight="false" outlineLevel="0" collapsed="false">
      <c r="A12" s="14"/>
      <c r="B12" s="15"/>
      <c r="C12" s="15"/>
      <c r="D12" s="15"/>
      <c r="E12" s="15"/>
      <c r="F12" s="16"/>
      <c r="G12" s="16" t="str">
        <f aca="false">IF(A12="","",N(G11)+IF(B12="Pemasukan",F12,-F12))</f>
        <v/>
      </c>
      <c r="H12" s="15" t="str">
        <f aca="false">IF(A12="","",MONTH(A12))</f>
        <v/>
      </c>
    </row>
    <row r="13" customFormat="false" ht="15" hidden="false" customHeight="false" outlineLevel="0" collapsed="false">
      <c r="A13" s="14"/>
      <c r="B13" s="15"/>
      <c r="C13" s="15"/>
      <c r="D13" s="15"/>
      <c r="E13" s="15"/>
      <c r="F13" s="16"/>
      <c r="G13" s="16" t="str">
        <f aca="false">IF(A13="","",N(G12)+IF(B13="Pemasukan",F13,-F13))</f>
        <v/>
      </c>
      <c r="H13" s="15" t="str">
        <f aca="false">IF(A13="","",MONTH(A13))</f>
        <v/>
      </c>
    </row>
    <row r="14" customFormat="false" ht="15" hidden="false" customHeight="false" outlineLevel="0" collapsed="false">
      <c r="A14" s="14"/>
      <c r="B14" s="15"/>
      <c r="C14" s="15"/>
      <c r="D14" s="15"/>
      <c r="E14" s="15"/>
      <c r="F14" s="16"/>
      <c r="G14" s="16" t="str">
        <f aca="false">IF(A14="","",N(G13)+IF(B14="Pemasukan",F14,-F14))</f>
        <v/>
      </c>
      <c r="H14" s="15" t="str">
        <f aca="false">IF(A14="","",MONTH(A14))</f>
        <v/>
      </c>
    </row>
    <row r="15" customFormat="false" ht="15" hidden="false" customHeight="false" outlineLevel="0" collapsed="false">
      <c r="A15" s="14"/>
      <c r="B15" s="15"/>
      <c r="C15" s="15"/>
      <c r="D15" s="15"/>
      <c r="E15" s="15"/>
      <c r="F15" s="16"/>
      <c r="G15" s="16" t="str">
        <f aca="false">IF(A15="","",N(G14)+IF(B15="Pemasukan",F15,-F15))</f>
        <v/>
      </c>
      <c r="H15" s="15" t="str">
        <f aca="false">IF(A15="","",MONTH(A15))</f>
        <v/>
      </c>
    </row>
    <row r="16" customFormat="false" ht="15" hidden="false" customHeight="false" outlineLevel="0" collapsed="false">
      <c r="A16" s="14"/>
      <c r="B16" s="15"/>
      <c r="C16" s="15"/>
      <c r="D16" s="15"/>
      <c r="E16" s="15"/>
      <c r="F16" s="16"/>
      <c r="G16" s="16" t="str">
        <f aca="false">IF(A16="","",N(G15)+IF(B16="Pemasukan",F16,-F16))</f>
        <v/>
      </c>
      <c r="H16" s="15" t="str">
        <f aca="false">IF(A16="","",MONTH(A16))</f>
        <v/>
      </c>
    </row>
    <row r="17" customFormat="false" ht="15" hidden="false" customHeight="false" outlineLevel="0" collapsed="false">
      <c r="A17" s="14"/>
      <c r="B17" s="15"/>
      <c r="C17" s="15"/>
      <c r="D17" s="15"/>
      <c r="E17" s="15"/>
      <c r="F17" s="16"/>
      <c r="G17" s="16" t="str">
        <f aca="false">IF(A17="","",N(G16)+IF(B17="Pemasukan",F17,-F17))</f>
        <v/>
      </c>
      <c r="H17" s="15" t="str">
        <f aca="false">IF(A17="","",MONTH(A17))</f>
        <v/>
      </c>
    </row>
    <row r="18" customFormat="false" ht="15" hidden="false" customHeight="false" outlineLevel="0" collapsed="false">
      <c r="A18" s="14"/>
      <c r="B18" s="15"/>
      <c r="C18" s="15"/>
      <c r="D18" s="15"/>
      <c r="E18" s="15"/>
      <c r="F18" s="16"/>
      <c r="G18" s="16" t="str">
        <f aca="false">IF(A18="","",N(G17)+IF(B18="Pemasukan",F18,-F18))</f>
        <v/>
      </c>
      <c r="H18" s="15" t="str">
        <f aca="false">IF(A18="","",MONTH(A18))</f>
        <v/>
      </c>
    </row>
    <row r="19" customFormat="false" ht="15" hidden="false" customHeight="false" outlineLevel="0" collapsed="false">
      <c r="A19" s="14"/>
      <c r="B19" s="15"/>
      <c r="C19" s="15"/>
      <c r="D19" s="15"/>
      <c r="E19" s="15"/>
      <c r="F19" s="16"/>
      <c r="G19" s="16" t="str">
        <f aca="false">IF(A19="","",N(G18)+IF(B19="Pemasukan",F19,-F19))</f>
        <v/>
      </c>
      <c r="H19" s="15" t="str">
        <f aca="false">IF(A19="","",MONTH(A19))</f>
        <v/>
      </c>
    </row>
    <row r="20" customFormat="false" ht="15" hidden="false" customHeight="false" outlineLevel="0" collapsed="false">
      <c r="A20" s="14"/>
      <c r="B20" s="15"/>
      <c r="C20" s="15"/>
      <c r="D20" s="15"/>
      <c r="E20" s="15"/>
      <c r="F20" s="16"/>
      <c r="G20" s="16" t="str">
        <f aca="false">IF(A20="","",N(G19)+IF(B20="Pemasukan",F20,-F20))</f>
        <v/>
      </c>
      <c r="H20" s="15" t="str">
        <f aca="false">IF(A20="","",MONTH(A20))</f>
        <v/>
      </c>
    </row>
    <row r="21" customFormat="false" ht="15" hidden="false" customHeight="false" outlineLevel="0" collapsed="false">
      <c r="A21" s="14"/>
      <c r="B21" s="15"/>
      <c r="C21" s="15"/>
      <c r="D21" s="15"/>
      <c r="E21" s="15"/>
      <c r="F21" s="16"/>
      <c r="G21" s="16" t="str">
        <f aca="false">IF(A21="","",N(G20)+IF(B21="Pemasukan",F21,-F21))</f>
        <v/>
      </c>
      <c r="H21" s="15" t="str">
        <f aca="false">IF(A21="","",MONTH(A21))</f>
        <v/>
      </c>
    </row>
    <row r="22" customFormat="false" ht="15" hidden="false" customHeight="false" outlineLevel="0" collapsed="false">
      <c r="A22" s="14"/>
      <c r="B22" s="15"/>
      <c r="C22" s="15"/>
      <c r="D22" s="15"/>
      <c r="E22" s="15"/>
      <c r="F22" s="16"/>
      <c r="G22" s="16" t="str">
        <f aca="false">IF(A22="","",N(G21)+IF(B22="Pemasukan",F22,-F22))</f>
        <v/>
      </c>
      <c r="H22" s="15" t="str">
        <f aca="false">IF(A22="","",MONTH(A22))</f>
        <v/>
      </c>
    </row>
    <row r="23" customFormat="false" ht="15" hidden="false" customHeight="false" outlineLevel="0" collapsed="false">
      <c r="A23" s="14"/>
      <c r="B23" s="15"/>
      <c r="C23" s="15"/>
      <c r="D23" s="15"/>
      <c r="E23" s="15"/>
      <c r="F23" s="16"/>
      <c r="G23" s="16" t="str">
        <f aca="false">IF(A23="","",N(G22)+IF(B23="Pemasukan",F23,-F23))</f>
        <v/>
      </c>
      <c r="H23" s="15" t="str">
        <f aca="false">IF(A23="","",MONTH(A23))</f>
        <v/>
      </c>
    </row>
    <row r="24" customFormat="false" ht="15" hidden="false" customHeight="false" outlineLevel="0" collapsed="false">
      <c r="A24" s="14"/>
      <c r="B24" s="15"/>
      <c r="C24" s="15"/>
      <c r="D24" s="15"/>
      <c r="E24" s="15"/>
      <c r="F24" s="16"/>
      <c r="G24" s="16" t="str">
        <f aca="false">IF(A24="","",N(G23)+IF(B24="Pemasukan",F24,-F24))</f>
        <v/>
      </c>
      <c r="H24" s="15" t="str">
        <f aca="false">IF(A24="","",MONTH(A24))</f>
        <v/>
      </c>
    </row>
    <row r="25" customFormat="false" ht="15" hidden="false" customHeight="false" outlineLevel="0" collapsed="false">
      <c r="A25" s="14"/>
      <c r="B25" s="15"/>
      <c r="C25" s="15"/>
      <c r="D25" s="15"/>
      <c r="E25" s="15"/>
      <c r="F25" s="16"/>
      <c r="G25" s="16" t="str">
        <f aca="false">IF(A25="","",N(G24)+IF(B25="Pemasukan",F25,-F25))</f>
        <v/>
      </c>
      <c r="H25" s="15" t="str">
        <f aca="false">IF(A25="","",MONTH(A25))</f>
        <v/>
      </c>
    </row>
    <row r="26" customFormat="false" ht="15" hidden="false" customHeight="false" outlineLevel="0" collapsed="false">
      <c r="A26" s="14"/>
      <c r="B26" s="15"/>
      <c r="C26" s="15"/>
      <c r="D26" s="15"/>
      <c r="E26" s="15"/>
      <c r="F26" s="16"/>
      <c r="G26" s="16" t="str">
        <f aca="false">IF(A26="","",N(G25)+IF(B26="Pemasukan",F26,-F26))</f>
        <v/>
      </c>
      <c r="H26" s="15" t="str">
        <f aca="false">IF(A26="","",MONTH(A26))</f>
        <v/>
      </c>
    </row>
    <row r="27" customFormat="false" ht="15" hidden="false" customHeight="false" outlineLevel="0" collapsed="false">
      <c r="A27" s="14"/>
      <c r="B27" s="15"/>
      <c r="C27" s="15"/>
      <c r="D27" s="15"/>
      <c r="E27" s="15"/>
      <c r="F27" s="16"/>
      <c r="G27" s="16" t="str">
        <f aca="false">IF(A27="","",N(G26)+IF(B27="Pemasukan",F27,-F27))</f>
        <v/>
      </c>
      <c r="H27" s="15" t="str">
        <f aca="false">IF(A27="","",MONTH(A27))</f>
        <v/>
      </c>
    </row>
    <row r="28" customFormat="false" ht="15" hidden="false" customHeight="false" outlineLevel="0" collapsed="false">
      <c r="A28" s="14"/>
      <c r="B28" s="15"/>
      <c r="C28" s="15"/>
      <c r="D28" s="15"/>
      <c r="E28" s="15"/>
      <c r="F28" s="16"/>
      <c r="G28" s="16" t="str">
        <f aca="false">IF(A28="","",N(G27)+IF(B28="Pemasukan",F28,-F28))</f>
        <v/>
      </c>
      <c r="H28" s="15" t="str">
        <f aca="false">IF(A28="","",MONTH(A28))</f>
        <v/>
      </c>
    </row>
    <row r="29" customFormat="false" ht="15" hidden="false" customHeight="false" outlineLevel="0" collapsed="false">
      <c r="A29" s="14"/>
      <c r="B29" s="15"/>
      <c r="C29" s="15"/>
      <c r="D29" s="15"/>
      <c r="E29" s="15"/>
      <c r="F29" s="16"/>
      <c r="G29" s="16" t="str">
        <f aca="false">IF(A29="","",N(G28)+IF(B29="Pemasukan",F29,-F29))</f>
        <v/>
      </c>
      <c r="H29" s="15" t="str">
        <f aca="false">IF(A29="","",MONTH(A29))</f>
        <v/>
      </c>
    </row>
    <row r="30" customFormat="false" ht="15" hidden="false" customHeight="false" outlineLevel="0" collapsed="false">
      <c r="A30" s="14"/>
      <c r="B30" s="15"/>
      <c r="C30" s="15"/>
      <c r="D30" s="15"/>
      <c r="E30" s="15"/>
      <c r="F30" s="16"/>
      <c r="G30" s="16" t="str">
        <f aca="false">IF(A30="","",N(G29)+IF(B30="Pemasukan",F30,-F30))</f>
        <v/>
      </c>
      <c r="H30" s="15" t="str">
        <f aca="false">IF(A30="","",MONTH(A30))</f>
        <v/>
      </c>
    </row>
    <row r="31" customFormat="false" ht="15" hidden="false" customHeight="false" outlineLevel="0" collapsed="false">
      <c r="A31" s="14"/>
      <c r="B31" s="15"/>
      <c r="C31" s="15"/>
      <c r="D31" s="15"/>
      <c r="E31" s="15"/>
      <c r="F31" s="16"/>
      <c r="G31" s="16" t="str">
        <f aca="false">IF(A31="","",N(G30)+IF(B31="Pemasukan",F31,-F31))</f>
        <v/>
      </c>
      <c r="H31" s="15" t="str">
        <f aca="false">IF(A31="","",MONTH(A31))</f>
        <v/>
      </c>
    </row>
    <row r="32" customFormat="false" ht="15" hidden="false" customHeight="false" outlineLevel="0" collapsed="false">
      <c r="A32" s="14"/>
      <c r="B32" s="15"/>
      <c r="C32" s="15"/>
      <c r="D32" s="15"/>
      <c r="E32" s="15"/>
      <c r="F32" s="16"/>
      <c r="G32" s="16" t="str">
        <f aca="false">IF(A32="","",N(G31)+IF(B32="Pemasukan",F32,-F32))</f>
        <v/>
      </c>
      <c r="H32" s="15" t="str">
        <f aca="false">IF(A32="","",MONTH(A32))</f>
        <v/>
      </c>
    </row>
    <row r="33" customFormat="false" ht="15" hidden="false" customHeight="false" outlineLevel="0" collapsed="false">
      <c r="A33" s="14"/>
      <c r="B33" s="15"/>
      <c r="C33" s="15"/>
      <c r="D33" s="15"/>
      <c r="E33" s="15"/>
      <c r="F33" s="16"/>
      <c r="G33" s="16" t="str">
        <f aca="false">IF(A33="","",N(G32)+IF(B33="Pemasukan",F33,-F33))</f>
        <v/>
      </c>
      <c r="H33" s="15" t="str">
        <f aca="false">IF(A33="","",MONTH(A33))</f>
        <v/>
      </c>
    </row>
    <row r="34" customFormat="false" ht="15" hidden="false" customHeight="false" outlineLevel="0" collapsed="false">
      <c r="A34" s="14"/>
      <c r="B34" s="15"/>
      <c r="C34" s="15"/>
      <c r="D34" s="15"/>
      <c r="E34" s="15"/>
      <c r="F34" s="16"/>
      <c r="G34" s="16" t="str">
        <f aca="false">IF(A34="","",N(G33)+IF(B34="Pemasukan",F34,-F34))</f>
        <v/>
      </c>
      <c r="H34" s="15" t="str">
        <f aca="false">IF(A34="","",MONTH(A34))</f>
        <v/>
      </c>
    </row>
    <row r="35" customFormat="false" ht="15" hidden="false" customHeight="false" outlineLevel="0" collapsed="false">
      <c r="A35" s="14"/>
      <c r="B35" s="15"/>
      <c r="C35" s="15"/>
      <c r="D35" s="15"/>
      <c r="E35" s="15"/>
      <c r="F35" s="16"/>
      <c r="G35" s="16" t="str">
        <f aca="false">IF(A35="","",N(G34)+IF(B35="Pemasukan",F35,-F35))</f>
        <v/>
      </c>
      <c r="H35" s="15" t="str">
        <f aca="false">IF(A35="","",MONTH(A35))</f>
        <v/>
      </c>
    </row>
    <row r="36" customFormat="false" ht="15" hidden="false" customHeight="false" outlineLevel="0" collapsed="false">
      <c r="A36" s="14"/>
      <c r="B36" s="15"/>
      <c r="C36" s="15"/>
      <c r="D36" s="15"/>
      <c r="E36" s="15"/>
      <c r="F36" s="16"/>
      <c r="G36" s="16" t="str">
        <f aca="false">IF(A36="","",N(G35)+IF(B36="Pemasukan",F36,-F36))</f>
        <v/>
      </c>
      <c r="H36" s="15" t="str">
        <f aca="false">IF(A36="","",MONTH(A36))</f>
        <v/>
      </c>
    </row>
    <row r="37" customFormat="false" ht="15" hidden="false" customHeight="false" outlineLevel="0" collapsed="false">
      <c r="A37" s="14"/>
      <c r="B37" s="15"/>
      <c r="C37" s="15"/>
      <c r="D37" s="15"/>
      <c r="E37" s="15"/>
      <c r="F37" s="16"/>
      <c r="G37" s="16" t="str">
        <f aca="false">IF(A37="","",N(G36)+IF(B37="Pemasukan",F37,-F37))</f>
        <v/>
      </c>
      <c r="H37" s="15" t="str">
        <f aca="false">IF(A37="","",MONTH(A37))</f>
        <v/>
      </c>
    </row>
    <row r="38" customFormat="false" ht="15" hidden="false" customHeight="false" outlineLevel="0" collapsed="false">
      <c r="A38" s="14"/>
      <c r="B38" s="15"/>
      <c r="C38" s="15"/>
      <c r="D38" s="15"/>
      <c r="E38" s="15"/>
      <c r="F38" s="16"/>
      <c r="G38" s="16" t="str">
        <f aca="false">IF(A38="","",N(G37)+IF(B38="Pemasukan",F38,-F38))</f>
        <v/>
      </c>
      <c r="H38" s="15" t="str">
        <f aca="false">IF(A38="","",MONTH(A38))</f>
        <v/>
      </c>
    </row>
    <row r="39" customFormat="false" ht="15" hidden="false" customHeight="false" outlineLevel="0" collapsed="false">
      <c r="A39" s="14"/>
      <c r="B39" s="15"/>
      <c r="C39" s="15"/>
      <c r="D39" s="15"/>
      <c r="E39" s="15"/>
      <c r="F39" s="16"/>
      <c r="G39" s="16" t="str">
        <f aca="false">IF(A39="","",N(G38)+IF(B39="Pemasukan",F39,-F39))</f>
        <v/>
      </c>
      <c r="H39" s="15" t="str">
        <f aca="false">IF(A39="","",MONTH(A39))</f>
        <v/>
      </c>
    </row>
    <row r="40" customFormat="false" ht="15" hidden="false" customHeight="false" outlineLevel="0" collapsed="false">
      <c r="A40" s="14"/>
      <c r="B40" s="15"/>
      <c r="C40" s="15"/>
      <c r="D40" s="15"/>
      <c r="E40" s="15"/>
      <c r="F40" s="16"/>
      <c r="G40" s="16" t="str">
        <f aca="false">IF(A40="","",N(G39)+IF(B40="Pemasukan",F40,-F40))</f>
        <v/>
      </c>
      <c r="H40" s="15" t="str">
        <f aca="false">IF(A40="","",MONTH(A40))</f>
        <v/>
      </c>
    </row>
    <row r="41" customFormat="false" ht="15" hidden="false" customHeight="false" outlineLevel="0" collapsed="false">
      <c r="A41" s="14"/>
      <c r="B41" s="15"/>
      <c r="C41" s="15"/>
      <c r="D41" s="15"/>
      <c r="E41" s="15"/>
      <c r="F41" s="16"/>
      <c r="G41" s="16" t="str">
        <f aca="false">IF(A41="","",N(G40)+IF(B41="Pemasukan",F41,-F41))</f>
        <v/>
      </c>
      <c r="H41" s="15" t="str">
        <f aca="false">IF(A41="","",MONTH(A41))</f>
        <v/>
      </c>
    </row>
    <row r="42" customFormat="false" ht="15" hidden="false" customHeight="false" outlineLevel="0" collapsed="false">
      <c r="A42" s="14"/>
      <c r="B42" s="15"/>
      <c r="C42" s="15"/>
      <c r="D42" s="15"/>
      <c r="E42" s="15"/>
      <c r="F42" s="16"/>
      <c r="G42" s="16" t="str">
        <f aca="false">IF(A42="","",N(G41)+IF(B42="Pemasukan",F42,-F42))</f>
        <v/>
      </c>
      <c r="H42" s="15" t="str">
        <f aca="false">IF(A42="","",MONTH(A42))</f>
        <v/>
      </c>
    </row>
    <row r="43" customFormat="false" ht="15" hidden="false" customHeight="false" outlineLevel="0" collapsed="false">
      <c r="A43" s="14"/>
      <c r="B43" s="15"/>
      <c r="C43" s="15"/>
      <c r="D43" s="15"/>
      <c r="E43" s="15"/>
      <c r="F43" s="16"/>
      <c r="G43" s="16" t="str">
        <f aca="false">IF(A43="","",N(G42)+IF(B43="Pemasukan",F43,-F43))</f>
        <v/>
      </c>
      <c r="H43" s="15" t="str">
        <f aca="false">IF(A43="","",MONTH(A43))</f>
        <v/>
      </c>
    </row>
    <row r="44" customFormat="false" ht="15" hidden="false" customHeight="false" outlineLevel="0" collapsed="false">
      <c r="A44" s="14"/>
      <c r="B44" s="15"/>
      <c r="C44" s="15"/>
      <c r="D44" s="15"/>
      <c r="E44" s="15"/>
      <c r="F44" s="16"/>
      <c r="G44" s="16" t="str">
        <f aca="false">IF(A44="","",N(G43)+IF(B44="Pemasukan",F44,-F44))</f>
        <v/>
      </c>
      <c r="H44" s="15" t="str">
        <f aca="false">IF(A44="","",MONTH(A44))</f>
        <v/>
      </c>
    </row>
    <row r="45" customFormat="false" ht="15" hidden="false" customHeight="false" outlineLevel="0" collapsed="false">
      <c r="A45" s="14"/>
      <c r="B45" s="15"/>
      <c r="C45" s="15"/>
      <c r="D45" s="15"/>
      <c r="E45" s="15"/>
      <c r="F45" s="16"/>
      <c r="G45" s="16" t="str">
        <f aca="false">IF(A45="","",N(G44)+IF(B45="Pemasukan",F45,-F45))</f>
        <v/>
      </c>
      <c r="H45" s="15" t="str">
        <f aca="false">IF(A45="","",MONTH(A45))</f>
        <v/>
      </c>
    </row>
    <row r="46" customFormat="false" ht="15" hidden="false" customHeight="false" outlineLevel="0" collapsed="false">
      <c r="A46" s="14"/>
      <c r="B46" s="15"/>
      <c r="C46" s="15"/>
      <c r="D46" s="15"/>
      <c r="E46" s="15"/>
      <c r="F46" s="16"/>
      <c r="G46" s="16" t="str">
        <f aca="false">IF(A46="","",N(G45)+IF(B46="Pemasukan",F46,-F46))</f>
        <v/>
      </c>
      <c r="H46" s="15" t="str">
        <f aca="false">IF(A46="","",MONTH(A46))</f>
        <v/>
      </c>
    </row>
    <row r="47" customFormat="false" ht="15" hidden="false" customHeight="false" outlineLevel="0" collapsed="false">
      <c r="A47" s="14"/>
      <c r="B47" s="15"/>
      <c r="C47" s="15"/>
      <c r="D47" s="15"/>
      <c r="E47" s="15"/>
      <c r="F47" s="16"/>
      <c r="G47" s="16" t="str">
        <f aca="false">IF(A47="","",N(G46)+IF(B47="Pemasukan",F47,-F47))</f>
        <v/>
      </c>
      <c r="H47" s="15" t="str">
        <f aca="false">IF(A47="","",MONTH(A47))</f>
        <v/>
      </c>
    </row>
    <row r="48" customFormat="false" ht="15" hidden="false" customHeight="false" outlineLevel="0" collapsed="false">
      <c r="A48" s="14"/>
      <c r="B48" s="15"/>
      <c r="C48" s="15"/>
      <c r="D48" s="15"/>
      <c r="E48" s="15"/>
      <c r="F48" s="16"/>
      <c r="G48" s="16" t="str">
        <f aca="false">IF(A48="","",N(G47)+IF(B48="Pemasukan",F48,-F48))</f>
        <v/>
      </c>
      <c r="H48" s="15" t="str">
        <f aca="false">IF(A48="","",MONTH(A48))</f>
        <v/>
      </c>
    </row>
    <row r="49" customFormat="false" ht="15" hidden="false" customHeight="false" outlineLevel="0" collapsed="false">
      <c r="A49" s="14"/>
      <c r="B49" s="15"/>
      <c r="C49" s="15"/>
      <c r="D49" s="15"/>
      <c r="E49" s="15"/>
      <c r="F49" s="16"/>
      <c r="G49" s="16" t="str">
        <f aca="false">IF(A49="","",N(G48)+IF(B49="Pemasukan",F49,-F49))</f>
        <v/>
      </c>
      <c r="H49" s="15" t="str">
        <f aca="false">IF(A49="","",MONTH(A49))</f>
        <v/>
      </c>
    </row>
    <row r="50" customFormat="false" ht="15" hidden="false" customHeight="false" outlineLevel="0" collapsed="false">
      <c r="A50" s="14"/>
      <c r="B50" s="15"/>
      <c r="C50" s="15"/>
      <c r="D50" s="15"/>
      <c r="E50" s="15"/>
      <c r="F50" s="16"/>
      <c r="G50" s="16" t="str">
        <f aca="false">IF(A50="","",N(G49)+IF(B50="Pemasukan",F50,-F50))</f>
        <v/>
      </c>
      <c r="H50" s="15" t="str">
        <f aca="false">IF(A50="","",MONTH(A50))</f>
        <v/>
      </c>
    </row>
    <row r="51" customFormat="false" ht="15" hidden="false" customHeight="false" outlineLevel="0" collapsed="false">
      <c r="A51" s="14"/>
      <c r="B51" s="15"/>
      <c r="C51" s="15"/>
      <c r="D51" s="15"/>
      <c r="E51" s="15"/>
      <c r="F51" s="16"/>
      <c r="G51" s="16" t="str">
        <f aca="false">IF(A51="","",N(G50)+IF(B51="Pemasukan",F51,-F51))</f>
        <v/>
      </c>
      <c r="H51" s="15" t="str">
        <f aca="false">IF(A51="","",MONTH(A51))</f>
        <v/>
      </c>
    </row>
    <row r="52" customFormat="false" ht="15" hidden="false" customHeight="false" outlineLevel="0" collapsed="false">
      <c r="A52" s="14"/>
      <c r="B52" s="15"/>
      <c r="C52" s="15"/>
      <c r="D52" s="15"/>
      <c r="E52" s="15"/>
      <c r="F52" s="16"/>
      <c r="G52" s="16" t="str">
        <f aca="false">IF(A52="","",N(G51)+IF(B52="Pemasukan",F52,-F52))</f>
        <v/>
      </c>
      <c r="H52" s="15" t="str">
        <f aca="false">IF(A52="","",MONTH(A52))</f>
        <v/>
      </c>
    </row>
    <row r="53" customFormat="false" ht="15" hidden="false" customHeight="false" outlineLevel="0" collapsed="false">
      <c r="A53" s="14"/>
      <c r="B53" s="15"/>
      <c r="C53" s="15"/>
      <c r="D53" s="15"/>
      <c r="E53" s="15"/>
      <c r="F53" s="16"/>
      <c r="G53" s="16" t="str">
        <f aca="false">IF(A53="","",N(G52)+IF(B53="Pemasukan",F53,-F53))</f>
        <v/>
      </c>
      <c r="H53" s="15" t="str">
        <f aca="false">IF(A53="","",MONTH(A53))</f>
        <v/>
      </c>
    </row>
    <row r="54" customFormat="false" ht="15" hidden="false" customHeight="false" outlineLevel="0" collapsed="false">
      <c r="A54" s="14"/>
      <c r="B54" s="15"/>
      <c r="C54" s="15"/>
      <c r="D54" s="15"/>
      <c r="E54" s="15"/>
      <c r="F54" s="16"/>
      <c r="G54" s="16" t="str">
        <f aca="false">IF(A54="","",N(G53)+IF(B54="Pemasukan",F54,-F54))</f>
        <v/>
      </c>
      <c r="H54" s="15" t="str">
        <f aca="false">IF(A54="","",MONTH(A54))</f>
        <v/>
      </c>
    </row>
    <row r="55" customFormat="false" ht="15" hidden="false" customHeight="false" outlineLevel="0" collapsed="false">
      <c r="A55" s="14"/>
      <c r="B55" s="15"/>
      <c r="C55" s="15"/>
      <c r="D55" s="15"/>
      <c r="E55" s="15"/>
      <c r="F55" s="16"/>
      <c r="G55" s="16" t="str">
        <f aca="false">IF(A55="","",N(G54)+IF(B55="Pemasukan",F55,-F55))</f>
        <v/>
      </c>
      <c r="H55" s="15" t="str">
        <f aca="false">IF(A55="","",MONTH(A55))</f>
        <v/>
      </c>
    </row>
    <row r="56" customFormat="false" ht="15" hidden="false" customHeight="false" outlineLevel="0" collapsed="false">
      <c r="A56" s="14"/>
      <c r="B56" s="15"/>
      <c r="C56" s="15"/>
      <c r="D56" s="15"/>
      <c r="E56" s="15"/>
      <c r="F56" s="16"/>
      <c r="G56" s="16" t="str">
        <f aca="false">IF(A56="","",N(G55)+IF(B56="Pemasukan",F56,-F56))</f>
        <v/>
      </c>
      <c r="H56" s="15" t="str">
        <f aca="false">IF(A56="","",MONTH(A56))</f>
        <v/>
      </c>
    </row>
    <row r="57" customFormat="false" ht="15" hidden="false" customHeight="false" outlineLevel="0" collapsed="false">
      <c r="A57" s="14"/>
      <c r="B57" s="15"/>
      <c r="C57" s="15"/>
      <c r="D57" s="15"/>
      <c r="E57" s="15"/>
      <c r="F57" s="16"/>
      <c r="G57" s="16" t="str">
        <f aca="false">IF(A57="","",N(G56)+IF(B57="Pemasukan",F57,-F57))</f>
        <v/>
      </c>
      <c r="H57" s="15" t="str">
        <f aca="false">IF(A57="","",MONTH(A57))</f>
        <v/>
      </c>
    </row>
    <row r="58" customFormat="false" ht="15" hidden="false" customHeight="false" outlineLevel="0" collapsed="false">
      <c r="A58" s="14"/>
      <c r="B58" s="15"/>
      <c r="C58" s="15"/>
      <c r="D58" s="15"/>
      <c r="E58" s="15"/>
      <c r="F58" s="16"/>
      <c r="G58" s="16" t="str">
        <f aca="false">IF(A58="","",N(G57)+IF(B58="Pemasukan",F58,-F58))</f>
        <v/>
      </c>
      <c r="H58" s="15" t="str">
        <f aca="false">IF(A58="","",MONTH(A58))</f>
        <v/>
      </c>
    </row>
    <row r="59" customFormat="false" ht="15" hidden="false" customHeight="false" outlineLevel="0" collapsed="false">
      <c r="A59" s="14"/>
      <c r="B59" s="15"/>
      <c r="C59" s="15"/>
      <c r="D59" s="15"/>
      <c r="E59" s="15"/>
      <c r="F59" s="16"/>
      <c r="G59" s="16" t="str">
        <f aca="false">IF(A59="","",N(G58)+IF(B59="Pemasukan",F59,-F59))</f>
        <v/>
      </c>
      <c r="H59" s="15" t="str">
        <f aca="false">IF(A59="","",MONTH(A59))</f>
        <v/>
      </c>
    </row>
    <row r="60" customFormat="false" ht="15" hidden="false" customHeight="false" outlineLevel="0" collapsed="false">
      <c r="A60" s="14"/>
      <c r="B60" s="15"/>
      <c r="C60" s="15"/>
      <c r="D60" s="15"/>
      <c r="E60" s="15"/>
      <c r="F60" s="16"/>
      <c r="G60" s="16" t="str">
        <f aca="false">IF(A60="","",N(G59)+IF(B60="Pemasukan",F60,-F60))</f>
        <v/>
      </c>
      <c r="H60" s="15" t="str">
        <f aca="false">IF(A60="","",MONTH(A60))</f>
        <v/>
      </c>
    </row>
    <row r="61" customFormat="false" ht="15" hidden="false" customHeight="false" outlineLevel="0" collapsed="false">
      <c r="A61" s="14"/>
      <c r="B61" s="15"/>
      <c r="C61" s="15"/>
      <c r="D61" s="15"/>
      <c r="E61" s="15"/>
      <c r="F61" s="16"/>
      <c r="G61" s="16" t="str">
        <f aca="false">IF(A61="","",N(G60)+IF(B61="Pemasukan",F61,-F61))</f>
        <v/>
      </c>
      <c r="H61" s="15" t="str">
        <f aca="false">IF(A61="","",MONTH(A61))</f>
        <v/>
      </c>
    </row>
    <row r="62" customFormat="false" ht="15" hidden="false" customHeight="false" outlineLevel="0" collapsed="false">
      <c r="A62" s="14"/>
      <c r="B62" s="15"/>
      <c r="C62" s="15"/>
      <c r="D62" s="15"/>
      <c r="E62" s="15"/>
      <c r="F62" s="16"/>
      <c r="G62" s="16" t="str">
        <f aca="false">IF(A62="","",N(G61)+IF(B62="Pemasukan",F62,-F62))</f>
        <v/>
      </c>
      <c r="H62" s="15" t="str">
        <f aca="false">IF(A62="","",MONTH(A62))</f>
        <v/>
      </c>
    </row>
    <row r="63" customFormat="false" ht="15" hidden="false" customHeight="false" outlineLevel="0" collapsed="false">
      <c r="A63" s="14"/>
      <c r="B63" s="15"/>
      <c r="C63" s="15"/>
      <c r="D63" s="15"/>
      <c r="E63" s="15"/>
      <c r="F63" s="16"/>
      <c r="G63" s="16" t="str">
        <f aca="false">IF(A63="","",N(G62)+IF(B63="Pemasukan",F63,-F63))</f>
        <v/>
      </c>
      <c r="H63" s="15" t="str">
        <f aca="false">IF(A63="","",MONTH(A63))</f>
        <v/>
      </c>
    </row>
    <row r="64" customFormat="false" ht="15" hidden="false" customHeight="false" outlineLevel="0" collapsed="false">
      <c r="A64" s="14"/>
      <c r="B64" s="15"/>
      <c r="C64" s="15"/>
      <c r="D64" s="15"/>
      <c r="E64" s="15"/>
      <c r="F64" s="16"/>
      <c r="G64" s="16" t="str">
        <f aca="false">IF(A64="","",N(G63)+IF(B64="Pemasukan",F64,-F64))</f>
        <v/>
      </c>
      <c r="H64" s="15" t="str">
        <f aca="false">IF(A64="","",MONTH(A64))</f>
        <v/>
      </c>
    </row>
    <row r="65" customFormat="false" ht="15" hidden="false" customHeight="false" outlineLevel="0" collapsed="false">
      <c r="A65" s="14"/>
      <c r="B65" s="15"/>
      <c r="C65" s="15"/>
      <c r="D65" s="15"/>
      <c r="E65" s="15"/>
      <c r="F65" s="16"/>
      <c r="G65" s="16" t="str">
        <f aca="false">IF(A65="","",N(G64)+IF(B65="Pemasukan",F65,-F65))</f>
        <v/>
      </c>
      <c r="H65" s="15" t="str">
        <f aca="false">IF(A65="","",MONTH(A65))</f>
        <v/>
      </c>
    </row>
    <row r="66" customFormat="false" ht="15" hidden="false" customHeight="false" outlineLevel="0" collapsed="false">
      <c r="A66" s="14"/>
      <c r="B66" s="15"/>
      <c r="C66" s="15"/>
      <c r="D66" s="15"/>
      <c r="E66" s="15"/>
      <c r="F66" s="16"/>
      <c r="G66" s="16" t="str">
        <f aca="false">IF(A66="","",N(G65)+IF(B66="Pemasukan",F66,-F66))</f>
        <v/>
      </c>
      <c r="H66" s="15" t="str">
        <f aca="false">IF(A66="","",MONTH(A66))</f>
        <v/>
      </c>
    </row>
    <row r="67" customFormat="false" ht="15" hidden="false" customHeight="false" outlineLevel="0" collapsed="false">
      <c r="A67" s="14"/>
      <c r="B67" s="15"/>
      <c r="C67" s="15"/>
      <c r="D67" s="15"/>
      <c r="E67" s="15"/>
      <c r="F67" s="16"/>
      <c r="G67" s="16" t="str">
        <f aca="false">IF(A67="","",N(G66)+IF(B67="Pemasukan",F67,-F67))</f>
        <v/>
      </c>
      <c r="H67" s="15" t="str">
        <f aca="false">IF(A67="","",MONTH(A67))</f>
        <v/>
      </c>
    </row>
    <row r="68" customFormat="false" ht="15" hidden="false" customHeight="false" outlineLevel="0" collapsed="false">
      <c r="A68" s="14"/>
      <c r="B68" s="15"/>
      <c r="C68" s="15"/>
      <c r="D68" s="15"/>
      <c r="E68" s="15"/>
      <c r="F68" s="16"/>
      <c r="G68" s="16" t="str">
        <f aca="false">IF(A68="","",N(G67)+IF(B68="Pemasukan",F68,-F68))</f>
        <v/>
      </c>
      <c r="H68" s="15" t="str">
        <f aca="false">IF(A68="","",MONTH(A68))</f>
        <v/>
      </c>
    </row>
    <row r="69" customFormat="false" ht="15" hidden="false" customHeight="false" outlineLevel="0" collapsed="false">
      <c r="A69" s="14"/>
      <c r="B69" s="15"/>
      <c r="C69" s="15"/>
      <c r="D69" s="15"/>
      <c r="E69" s="15"/>
      <c r="F69" s="16"/>
      <c r="G69" s="16" t="str">
        <f aca="false">IF(A69="","",N(G68)+IF(B69="Pemasukan",F69,-F69))</f>
        <v/>
      </c>
      <c r="H69" s="15" t="str">
        <f aca="false">IF(A69="","",MONTH(A69))</f>
        <v/>
      </c>
    </row>
    <row r="70" customFormat="false" ht="15" hidden="false" customHeight="false" outlineLevel="0" collapsed="false">
      <c r="A70" s="14"/>
      <c r="B70" s="15"/>
      <c r="C70" s="15"/>
      <c r="D70" s="15"/>
      <c r="E70" s="15"/>
      <c r="F70" s="16"/>
      <c r="G70" s="16" t="str">
        <f aca="false">IF(A70="","",N(G69)+IF(B70="Pemasukan",F70,-F70))</f>
        <v/>
      </c>
      <c r="H70" s="15" t="str">
        <f aca="false">IF(A70="","",MONTH(A70))</f>
        <v/>
      </c>
    </row>
    <row r="71" customFormat="false" ht="15" hidden="false" customHeight="false" outlineLevel="0" collapsed="false">
      <c r="A71" s="14"/>
      <c r="B71" s="15"/>
      <c r="C71" s="15"/>
      <c r="D71" s="15"/>
      <c r="E71" s="15"/>
      <c r="F71" s="16"/>
      <c r="G71" s="16" t="str">
        <f aca="false">IF(A71="","",N(G70)+IF(B71="Pemasukan",F71,-F71))</f>
        <v/>
      </c>
      <c r="H71" s="15" t="str">
        <f aca="false">IF(A71="","",MONTH(A71))</f>
        <v/>
      </c>
    </row>
    <row r="72" customFormat="false" ht="15" hidden="false" customHeight="false" outlineLevel="0" collapsed="false">
      <c r="A72" s="14"/>
      <c r="B72" s="15"/>
      <c r="C72" s="15"/>
      <c r="D72" s="15"/>
      <c r="E72" s="15"/>
      <c r="F72" s="16"/>
      <c r="G72" s="16" t="str">
        <f aca="false">IF(A72="","",N(G71)+IF(B72="Pemasukan",F72,-F72))</f>
        <v/>
      </c>
      <c r="H72" s="15" t="str">
        <f aca="false">IF(A72="","",MONTH(A72))</f>
        <v/>
      </c>
    </row>
    <row r="73" customFormat="false" ht="15" hidden="false" customHeight="false" outlineLevel="0" collapsed="false">
      <c r="A73" s="14"/>
      <c r="B73" s="15"/>
      <c r="C73" s="15"/>
      <c r="D73" s="15"/>
      <c r="E73" s="15"/>
      <c r="F73" s="16"/>
      <c r="G73" s="16" t="str">
        <f aca="false">IF(A73="","",N(G72)+IF(B73="Pemasukan",F73,-F73))</f>
        <v/>
      </c>
      <c r="H73" s="15" t="str">
        <f aca="false">IF(A73="","",MONTH(A73))</f>
        <v/>
      </c>
    </row>
    <row r="74" customFormat="false" ht="15" hidden="false" customHeight="false" outlineLevel="0" collapsed="false">
      <c r="A74" s="14"/>
      <c r="B74" s="15"/>
      <c r="C74" s="15"/>
      <c r="D74" s="15"/>
      <c r="E74" s="15"/>
      <c r="F74" s="16"/>
      <c r="G74" s="16" t="str">
        <f aca="false">IF(A74="","",N(G73)+IF(B74="Pemasukan",F74,-F74))</f>
        <v/>
      </c>
      <c r="H74" s="15" t="str">
        <f aca="false">IF(A74="","",MONTH(A74))</f>
        <v/>
      </c>
    </row>
    <row r="75" customFormat="false" ht="15" hidden="false" customHeight="false" outlineLevel="0" collapsed="false">
      <c r="A75" s="14"/>
      <c r="B75" s="15"/>
      <c r="C75" s="15"/>
      <c r="D75" s="15"/>
      <c r="E75" s="15"/>
      <c r="F75" s="16"/>
      <c r="G75" s="16" t="str">
        <f aca="false">IF(A75="","",N(G74)+IF(B75="Pemasukan",F75,-F75))</f>
        <v/>
      </c>
      <c r="H75" s="15" t="str">
        <f aca="false">IF(A75="","",MONTH(A75))</f>
        <v/>
      </c>
    </row>
    <row r="76" customFormat="false" ht="15" hidden="false" customHeight="false" outlineLevel="0" collapsed="false">
      <c r="A76" s="14"/>
      <c r="B76" s="15"/>
      <c r="C76" s="15"/>
      <c r="D76" s="15"/>
      <c r="E76" s="15"/>
      <c r="F76" s="16"/>
      <c r="G76" s="16" t="str">
        <f aca="false">IF(A76="","",N(G75)+IF(B76="Pemasukan",F76,-F76))</f>
        <v/>
      </c>
      <c r="H76" s="15" t="str">
        <f aca="false">IF(A76="","",MONTH(A76))</f>
        <v/>
      </c>
    </row>
    <row r="77" customFormat="false" ht="15" hidden="false" customHeight="false" outlineLevel="0" collapsed="false">
      <c r="A77" s="14"/>
      <c r="B77" s="15"/>
      <c r="C77" s="15"/>
      <c r="D77" s="15"/>
      <c r="E77" s="15"/>
      <c r="F77" s="16"/>
      <c r="G77" s="16" t="str">
        <f aca="false">IF(A77="","",N(G76)+IF(B77="Pemasukan",F77,-F77))</f>
        <v/>
      </c>
      <c r="H77" s="15" t="str">
        <f aca="false">IF(A77="","",MONTH(A77))</f>
        <v/>
      </c>
    </row>
    <row r="78" customFormat="false" ht="15" hidden="false" customHeight="false" outlineLevel="0" collapsed="false">
      <c r="A78" s="14"/>
      <c r="B78" s="15"/>
      <c r="C78" s="15"/>
      <c r="D78" s="15"/>
      <c r="E78" s="15"/>
      <c r="F78" s="16"/>
      <c r="G78" s="16" t="str">
        <f aca="false">IF(A78="","",N(G77)+IF(B78="Pemasukan",F78,-F78))</f>
        <v/>
      </c>
      <c r="H78" s="15" t="str">
        <f aca="false">IF(A78="","",MONTH(A78))</f>
        <v/>
      </c>
    </row>
    <row r="79" customFormat="false" ht="15" hidden="false" customHeight="false" outlineLevel="0" collapsed="false">
      <c r="A79" s="14"/>
      <c r="B79" s="15"/>
      <c r="C79" s="15"/>
      <c r="D79" s="15"/>
      <c r="E79" s="15"/>
      <c r="F79" s="16"/>
      <c r="G79" s="16" t="str">
        <f aca="false">IF(A79="","",N(G78)+IF(B79="Pemasukan",F79,-F79))</f>
        <v/>
      </c>
      <c r="H79" s="15" t="str">
        <f aca="false">IF(A79="","",MONTH(A79))</f>
        <v/>
      </c>
    </row>
    <row r="80" customFormat="false" ht="15" hidden="false" customHeight="false" outlineLevel="0" collapsed="false">
      <c r="A80" s="14"/>
      <c r="B80" s="15"/>
      <c r="C80" s="15"/>
      <c r="D80" s="15"/>
      <c r="E80" s="15"/>
      <c r="F80" s="16"/>
      <c r="G80" s="16" t="str">
        <f aca="false">IF(A80="","",N(G79)+IF(B80="Pemasukan",F80,-F80))</f>
        <v/>
      </c>
      <c r="H80" s="15" t="str">
        <f aca="false">IF(A80="","",MONTH(A80))</f>
        <v/>
      </c>
    </row>
    <row r="81" customFormat="false" ht="15" hidden="false" customHeight="false" outlineLevel="0" collapsed="false">
      <c r="A81" s="14"/>
      <c r="B81" s="15"/>
      <c r="C81" s="15"/>
      <c r="D81" s="15"/>
      <c r="E81" s="15"/>
      <c r="F81" s="16"/>
      <c r="G81" s="16" t="str">
        <f aca="false">IF(A81="","",N(G80)+IF(B81="Pemasukan",F81,-F81))</f>
        <v/>
      </c>
      <c r="H81" s="15" t="str">
        <f aca="false">IF(A81="","",MONTH(A81))</f>
        <v/>
      </c>
    </row>
    <row r="82" customFormat="false" ht="15" hidden="false" customHeight="false" outlineLevel="0" collapsed="false">
      <c r="A82" s="14"/>
      <c r="B82" s="15"/>
      <c r="C82" s="15"/>
      <c r="D82" s="15"/>
      <c r="E82" s="15"/>
      <c r="F82" s="16"/>
      <c r="G82" s="16" t="str">
        <f aca="false">IF(A82="","",N(G81)+IF(B82="Pemasukan",F82,-F82))</f>
        <v/>
      </c>
      <c r="H82" s="15" t="str">
        <f aca="false">IF(A82="","",MONTH(A82))</f>
        <v/>
      </c>
    </row>
    <row r="83" customFormat="false" ht="15" hidden="false" customHeight="false" outlineLevel="0" collapsed="false">
      <c r="A83" s="14"/>
      <c r="B83" s="15"/>
      <c r="C83" s="15"/>
      <c r="D83" s="15"/>
      <c r="E83" s="15"/>
      <c r="F83" s="16"/>
      <c r="G83" s="16" t="str">
        <f aca="false">IF(A83="","",N(G82)+IF(B83="Pemasukan",F83,-F83))</f>
        <v/>
      </c>
      <c r="H83" s="15" t="str">
        <f aca="false">IF(A83="","",MONTH(A83))</f>
        <v/>
      </c>
    </row>
    <row r="84" customFormat="false" ht="15" hidden="false" customHeight="false" outlineLevel="0" collapsed="false">
      <c r="A84" s="14"/>
      <c r="B84" s="15"/>
      <c r="C84" s="15"/>
      <c r="D84" s="15"/>
      <c r="E84" s="15"/>
      <c r="F84" s="16"/>
      <c r="G84" s="16" t="str">
        <f aca="false">IF(A84="","",N(G83)+IF(B84="Pemasukan",F84,-F84))</f>
        <v/>
      </c>
      <c r="H84" s="15" t="str">
        <f aca="false">IF(A84="","",MONTH(A84))</f>
        <v/>
      </c>
    </row>
    <row r="85" customFormat="false" ht="15" hidden="false" customHeight="false" outlineLevel="0" collapsed="false">
      <c r="A85" s="14"/>
      <c r="B85" s="15"/>
      <c r="C85" s="15"/>
      <c r="D85" s="15"/>
      <c r="E85" s="15"/>
      <c r="F85" s="16"/>
      <c r="G85" s="16" t="str">
        <f aca="false">IF(A85="","",N(G84)+IF(B85="Pemasukan",F85,-F85))</f>
        <v/>
      </c>
      <c r="H85" s="15" t="str">
        <f aca="false">IF(A85="","",MONTH(A85))</f>
        <v/>
      </c>
    </row>
    <row r="86" customFormat="false" ht="15" hidden="false" customHeight="false" outlineLevel="0" collapsed="false">
      <c r="A86" s="14"/>
      <c r="B86" s="15"/>
      <c r="C86" s="15"/>
      <c r="D86" s="15"/>
      <c r="E86" s="15"/>
      <c r="F86" s="16"/>
      <c r="G86" s="16" t="str">
        <f aca="false">IF(A86="","",N(G85)+IF(B86="Pemasukan",F86,-F86))</f>
        <v/>
      </c>
      <c r="H86" s="15" t="str">
        <f aca="false">IF(A86="","",MONTH(A86))</f>
        <v/>
      </c>
    </row>
    <row r="87" customFormat="false" ht="15" hidden="false" customHeight="false" outlineLevel="0" collapsed="false">
      <c r="A87" s="14"/>
      <c r="B87" s="15"/>
      <c r="C87" s="15"/>
      <c r="D87" s="15"/>
      <c r="E87" s="15"/>
      <c r="F87" s="16"/>
      <c r="G87" s="16" t="str">
        <f aca="false">IF(A87="","",N(G86)+IF(B87="Pemasukan",F87,-F87))</f>
        <v/>
      </c>
      <c r="H87" s="15" t="str">
        <f aca="false">IF(A87="","",MONTH(A87))</f>
        <v/>
      </c>
    </row>
    <row r="88" customFormat="false" ht="15" hidden="false" customHeight="false" outlineLevel="0" collapsed="false">
      <c r="A88" s="14"/>
      <c r="B88" s="15"/>
      <c r="C88" s="15"/>
      <c r="D88" s="15"/>
      <c r="E88" s="15"/>
      <c r="F88" s="16"/>
      <c r="G88" s="16" t="str">
        <f aca="false">IF(A88="","",N(G87)+IF(B88="Pemasukan",F88,-F88))</f>
        <v/>
      </c>
      <c r="H88" s="15" t="str">
        <f aca="false">IF(A88="","",MONTH(A88))</f>
        <v/>
      </c>
    </row>
    <row r="89" customFormat="false" ht="15" hidden="false" customHeight="false" outlineLevel="0" collapsed="false">
      <c r="A89" s="14"/>
      <c r="B89" s="15"/>
      <c r="C89" s="15"/>
      <c r="D89" s="15"/>
      <c r="E89" s="15"/>
      <c r="F89" s="16"/>
      <c r="G89" s="16" t="str">
        <f aca="false">IF(A89="","",N(G88)+IF(B89="Pemasukan",F89,-F89))</f>
        <v/>
      </c>
      <c r="H89" s="15" t="str">
        <f aca="false">IF(A89="","",MONTH(A89))</f>
        <v/>
      </c>
    </row>
    <row r="90" customFormat="false" ht="15" hidden="false" customHeight="false" outlineLevel="0" collapsed="false">
      <c r="A90" s="14"/>
      <c r="B90" s="15"/>
      <c r="C90" s="15"/>
      <c r="D90" s="15"/>
      <c r="E90" s="15"/>
      <c r="F90" s="16"/>
      <c r="G90" s="16" t="str">
        <f aca="false">IF(A90="","",N(G89)+IF(B90="Pemasukan",F90,-F90))</f>
        <v/>
      </c>
      <c r="H90" s="15" t="str">
        <f aca="false">IF(A90="","",MONTH(A90))</f>
        <v/>
      </c>
    </row>
    <row r="91" customFormat="false" ht="15" hidden="false" customHeight="false" outlineLevel="0" collapsed="false">
      <c r="A91" s="14"/>
      <c r="B91" s="15"/>
      <c r="C91" s="15"/>
      <c r="D91" s="15"/>
      <c r="E91" s="15"/>
      <c r="F91" s="16"/>
      <c r="G91" s="16" t="str">
        <f aca="false">IF(A91="","",N(G90)+IF(B91="Pemasukan",F91,-F91))</f>
        <v/>
      </c>
      <c r="H91" s="15" t="str">
        <f aca="false">IF(A91="","",MONTH(A91))</f>
        <v/>
      </c>
    </row>
    <row r="92" customFormat="false" ht="15" hidden="false" customHeight="false" outlineLevel="0" collapsed="false">
      <c r="A92" s="14"/>
      <c r="B92" s="15"/>
      <c r="C92" s="15"/>
      <c r="D92" s="15"/>
      <c r="E92" s="15"/>
      <c r="F92" s="16"/>
      <c r="G92" s="16" t="str">
        <f aca="false">IF(A92="","",N(G91)+IF(B92="Pemasukan",F92,-F92))</f>
        <v/>
      </c>
      <c r="H92" s="15" t="str">
        <f aca="false">IF(A92="","",MONTH(A92))</f>
        <v/>
      </c>
    </row>
    <row r="93" customFormat="false" ht="15" hidden="false" customHeight="false" outlineLevel="0" collapsed="false">
      <c r="A93" s="14"/>
      <c r="B93" s="15"/>
      <c r="C93" s="15"/>
      <c r="D93" s="15"/>
      <c r="E93" s="15"/>
      <c r="F93" s="16"/>
      <c r="G93" s="16" t="str">
        <f aca="false">IF(A93="","",N(G92)+IF(B93="Pemasukan",F93,-F93))</f>
        <v/>
      </c>
      <c r="H93" s="15" t="str">
        <f aca="false">IF(A93="","",MONTH(A93))</f>
        <v/>
      </c>
    </row>
    <row r="94" customFormat="false" ht="15" hidden="false" customHeight="false" outlineLevel="0" collapsed="false">
      <c r="A94" s="14"/>
      <c r="B94" s="15"/>
      <c r="C94" s="15"/>
      <c r="D94" s="15"/>
      <c r="E94" s="15"/>
      <c r="F94" s="16"/>
      <c r="G94" s="16" t="str">
        <f aca="false">IF(A94="","",N(G93)+IF(B94="Pemasukan",F94,-F94))</f>
        <v/>
      </c>
      <c r="H94" s="15" t="str">
        <f aca="false">IF(A94="","",MONTH(A94))</f>
        <v/>
      </c>
    </row>
    <row r="95" customFormat="false" ht="15" hidden="false" customHeight="false" outlineLevel="0" collapsed="false">
      <c r="A95" s="14"/>
      <c r="B95" s="15"/>
      <c r="C95" s="15"/>
      <c r="D95" s="15"/>
      <c r="E95" s="15"/>
      <c r="F95" s="16"/>
      <c r="G95" s="16" t="str">
        <f aca="false">IF(A95="","",N(G94)+IF(B95="Pemasukan",F95,-F95))</f>
        <v/>
      </c>
      <c r="H95" s="15" t="str">
        <f aca="false">IF(A95="","",MONTH(A95))</f>
        <v/>
      </c>
    </row>
    <row r="96" customFormat="false" ht="15" hidden="false" customHeight="false" outlineLevel="0" collapsed="false">
      <c r="A96" s="14"/>
      <c r="B96" s="15"/>
      <c r="C96" s="15"/>
      <c r="D96" s="15"/>
      <c r="E96" s="15"/>
      <c r="F96" s="16"/>
      <c r="G96" s="16" t="str">
        <f aca="false">IF(A96="","",N(G95)+IF(B96="Pemasukan",F96,-F96))</f>
        <v/>
      </c>
      <c r="H96" s="15" t="str">
        <f aca="false">IF(A96="","",MONTH(A96))</f>
        <v/>
      </c>
    </row>
    <row r="97" customFormat="false" ht="15" hidden="false" customHeight="false" outlineLevel="0" collapsed="false">
      <c r="A97" s="14"/>
      <c r="B97" s="15"/>
      <c r="C97" s="15"/>
      <c r="D97" s="15"/>
      <c r="E97" s="15"/>
      <c r="F97" s="16"/>
      <c r="G97" s="16" t="str">
        <f aca="false">IF(A97="","",N(G96)+IF(B97="Pemasukan",F97,-F97))</f>
        <v/>
      </c>
      <c r="H97" s="15" t="str">
        <f aca="false">IF(A97="","",MONTH(A97))</f>
        <v/>
      </c>
    </row>
    <row r="98" customFormat="false" ht="15" hidden="false" customHeight="false" outlineLevel="0" collapsed="false">
      <c r="A98" s="14"/>
      <c r="B98" s="15"/>
      <c r="C98" s="15"/>
      <c r="D98" s="15"/>
      <c r="E98" s="15"/>
      <c r="F98" s="16"/>
      <c r="G98" s="16" t="str">
        <f aca="false">IF(A98="","",N(G97)+IF(B98="Pemasukan",F98,-F98))</f>
        <v/>
      </c>
      <c r="H98" s="15" t="str">
        <f aca="false">IF(A98="","",MONTH(A98))</f>
        <v/>
      </c>
    </row>
    <row r="99" customFormat="false" ht="15" hidden="false" customHeight="false" outlineLevel="0" collapsed="false">
      <c r="A99" s="14"/>
      <c r="B99" s="15"/>
      <c r="C99" s="15"/>
      <c r="D99" s="15"/>
      <c r="E99" s="15"/>
      <c r="F99" s="16"/>
      <c r="G99" s="16" t="str">
        <f aca="false">IF(A99="","",N(G98)+IF(B99="Pemasukan",F99,-F99))</f>
        <v/>
      </c>
      <c r="H99" s="15" t="str">
        <f aca="false">IF(A99="","",MONTH(A99))</f>
        <v/>
      </c>
    </row>
    <row r="100" customFormat="false" ht="15" hidden="false" customHeight="false" outlineLevel="0" collapsed="false">
      <c r="A100" s="14"/>
      <c r="B100" s="15"/>
      <c r="C100" s="15"/>
      <c r="D100" s="15"/>
      <c r="E100" s="15"/>
      <c r="F100" s="16"/>
      <c r="G100" s="16" t="str">
        <f aca="false">IF(A100="","",N(G99)+IF(B100="Pemasukan",F100,-F100))</f>
        <v/>
      </c>
      <c r="H100" s="15" t="str">
        <f aca="false">IF(A100="","",MONTH(A100))</f>
        <v/>
      </c>
    </row>
    <row r="101" customFormat="false" ht="15" hidden="false" customHeight="false" outlineLevel="0" collapsed="false">
      <c r="A101" s="14"/>
      <c r="B101" s="15"/>
      <c r="C101" s="15"/>
      <c r="D101" s="15"/>
      <c r="E101" s="15"/>
      <c r="F101" s="16"/>
      <c r="G101" s="16" t="str">
        <f aca="false">IF(A101="","",N(G100)+IF(B101="Pemasukan",F101,-F101))</f>
        <v/>
      </c>
      <c r="H101" s="15" t="str">
        <f aca="false">IF(A101="","",MONTH(A101))</f>
        <v/>
      </c>
    </row>
    <row r="102" customFormat="false" ht="15" hidden="false" customHeight="false" outlineLevel="0" collapsed="false">
      <c r="A102" s="14"/>
      <c r="B102" s="15"/>
      <c r="C102" s="15"/>
      <c r="D102" s="15"/>
      <c r="E102" s="15"/>
      <c r="F102" s="16"/>
      <c r="G102" s="16" t="str">
        <f aca="false">IF(A102="","",N(G101)+IF(B102="Pemasukan",F102,-F102))</f>
        <v/>
      </c>
      <c r="H102" s="15" t="str">
        <f aca="false">IF(A102="","",MONTH(A102))</f>
        <v/>
      </c>
    </row>
    <row r="103" customFormat="false" ht="15" hidden="false" customHeight="false" outlineLevel="0" collapsed="false">
      <c r="A103" s="14"/>
      <c r="B103" s="15"/>
      <c r="C103" s="15"/>
      <c r="D103" s="15"/>
      <c r="E103" s="15"/>
      <c r="F103" s="16"/>
      <c r="G103" s="16" t="str">
        <f aca="false">IF(A103="","",N(G102)+IF(B103="Pemasukan",F103,-F103))</f>
        <v/>
      </c>
      <c r="H103" s="15" t="str">
        <f aca="false">IF(A103="","",MONTH(A103))</f>
        <v/>
      </c>
    </row>
    <row r="104" customFormat="false" ht="15" hidden="false" customHeight="false" outlineLevel="0" collapsed="false">
      <c r="A104" s="14"/>
      <c r="B104" s="15"/>
      <c r="C104" s="15"/>
      <c r="D104" s="15"/>
      <c r="E104" s="15"/>
      <c r="F104" s="16"/>
      <c r="G104" s="16" t="str">
        <f aca="false">IF(A104="","",N(G103)+IF(B104="Pemasukan",F104,-F104))</f>
        <v/>
      </c>
      <c r="H104" s="15" t="str">
        <f aca="false">IF(A104="","",MONTH(A104))</f>
        <v/>
      </c>
    </row>
    <row r="105" customFormat="false" ht="15" hidden="false" customHeight="false" outlineLevel="0" collapsed="false">
      <c r="A105" s="14"/>
      <c r="B105" s="15"/>
      <c r="C105" s="15"/>
      <c r="D105" s="15"/>
      <c r="E105" s="15"/>
      <c r="F105" s="16"/>
      <c r="G105" s="16" t="str">
        <f aca="false">IF(A105="","",N(G104)+IF(B105="Pemasukan",F105,-F105))</f>
        <v/>
      </c>
      <c r="H105" s="15" t="str">
        <f aca="false">IF(A105="","",MONTH(A105))</f>
        <v/>
      </c>
    </row>
    <row r="106" customFormat="false" ht="15" hidden="false" customHeight="false" outlineLevel="0" collapsed="false">
      <c r="A106" s="14"/>
      <c r="B106" s="15"/>
      <c r="C106" s="15"/>
      <c r="D106" s="15"/>
      <c r="E106" s="15"/>
      <c r="F106" s="16"/>
      <c r="G106" s="16" t="str">
        <f aca="false">IF(A106="","",N(G105)+IF(B106="Pemasukan",F106,-F106))</f>
        <v/>
      </c>
      <c r="H106" s="15" t="str">
        <f aca="false">IF(A106="","",MONTH(A106))</f>
        <v/>
      </c>
    </row>
    <row r="107" customFormat="false" ht="15" hidden="false" customHeight="false" outlineLevel="0" collapsed="false">
      <c r="A107" s="14"/>
      <c r="B107" s="15"/>
      <c r="C107" s="15"/>
      <c r="D107" s="15"/>
      <c r="E107" s="15"/>
      <c r="F107" s="16"/>
      <c r="G107" s="16" t="str">
        <f aca="false">IF(A107="","",N(G106)+IF(B107="Pemasukan",F107,-F107))</f>
        <v/>
      </c>
      <c r="H107" s="15" t="str">
        <f aca="false">IF(A107="","",MONTH(A107))</f>
        <v/>
      </c>
    </row>
    <row r="108" customFormat="false" ht="15" hidden="false" customHeight="false" outlineLevel="0" collapsed="false">
      <c r="A108" s="14"/>
      <c r="B108" s="15"/>
      <c r="C108" s="15"/>
      <c r="D108" s="15"/>
      <c r="E108" s="15"/>
      <c r="F108" s="16"/>
      <c r="G108" s="16" t="str">
        <f aca="false">IF(A108="","",N(G107)+IF(B108="Pemasukan",F108,-F108))</f>
        <v/>
      </c>
      <c r="H108" s="15" t="str">
        <f aca="false">IF(A108="","",MONTH(A108))</f>
        <v/>
      </c>
    </row>
    <row r="109" customFormat="false" ht="15" hidden="false" customHeight="false" outlineLevel="0" collapsed="false">
      <c r="A109" s="14"/>
      <c r="B109" s="15"/>
      <c r="C109" s="15"/>
      <c r="D109" s="15"/>
      <c r="E109" s="15"/>
      <c r="F109" s="16"/>
      <c r="G109" s="16" t="str">
        <f aca="false">IF(A109="","",N(G108)+IF(B109="Pemasukan",F109,-F109))</f>
        <v/>
      </c>
      <c r="H109" s="15" t="str">
        <f aca="false">IF(A109="","",MONTH(A109))</f>
        <v/>
      </c>
    </row>
    <row r="110" customFormat="false" ht="15" hidden="false" customHeight="false" outlineLevel="0" collapsed="false">
      <c r="A110" s="14"/>
      <c r="B110" s="15"/>
      <c r="C110" s="15"/>
      <c r="D110" s="15"/>
      <c r="E110" s="15"/>
      <c r="F110" s="16"/>
      <c r="G110" s="16" t="str">
        <f aca="false">IF(A110="","",N(G109)+IF(B110="Pemasukan",F110,-F110))</f>
        <v/>
      </c>
      <c r="H110" s="15" t="str">
        <f aca="false">IF(A110="","",MONTH(A110))</f>
        <v/>
      </c>
    </row>
    <row r="111" customFormat="false" ht="15" hidden="false" customHeight="false" outlineLevel="0" collapsed="false">
      <c r="A111" s="14"/>
      <c r="B111" s="15"/>
      <c r="C111" s="15"/>
      <c r="D111" s="15"/>
      <c r="E111" s="15"/>
      <c r="F111" s="16"/>
      <c r="G111" s="16" t="str">
        <f aca="false">IF(A111="","",N(G110)+IF(B111="Pemasukan",F111,-F111))</f>
        <v/>
      </c>
      <c r="H111" s="15" t="str">
        <f aca="false">IF(A111="","",MONTH(A111))</f>
        <v/>
      </c>
    </row>
    <row r="112" customFormat="false" ht="15" hidden="false" customHeight="false" outlineLevel="0" collapsed="false">
      <c r="A112" s="14"/>
      <c r="B112" s="15"/>
      <c r="C112" s="15"/>
      <c r="D112" s="15"/>
      <c r="E112" s="15"/>
      <c r="F112" s="16"/>
      <c r="G112" s="16" t="str">
        <f aca="false">IF(A112="","",N(G111)+IF(B112="Pemasukan",F112,-F112))</f>
        <v/>
      </c>
      <c r="H112" s="15" t="str">
        <f aca="false">IF(A112="","",MONTH(A112))</f>
        <v/>
      </c>
    </row>
    <row r="113" customFormat="false" ht="15" hidden="false" customHeight="false" outlineLevel="0" collapsed="false">
      <c r="A113" s="14"/>
      <c r="B113" s="15"/>
      <c r="C113" s="15"/>
      <c r="D113" s="15"/>
      <c r="E113" s="15"/>
      <c r="F113" s="16"/>
      <c r="G113" s="16" t="str">
        <f aca="false">IF(A113="","",N(G112)+IF(B113="Pemasukan",F113,-F113))</f>
        <v/>
      </c>
      <c r="H113" s="15" t="str">
        <f aca="false">IF(A113="","",MONTH(A113))</f>
        <v/>
      </c>
    </row>
    <row r="114" customFormat="false" ht="15" hidden="false" customHeight="false" outlineLevel="0" collapsed="false">
      <c r="A114" s="14"/>
      <c r="B114" s="15"/>
      <c r="C114" s="15"/>
      <c r="D114" s="15"/>
      <c r="E114" s="15"/>
      <c r="F114" s="16"/>
      <c r="G114" s="16" t="str">
        <f aca="false">IF(A114="","",N(G113)+IF(B114="Pemasukan",F114,-F114))</f>
        <v/>
      </c>
      <c r="H114" s="15" t="str">
        <f aca="false">IF(A114="","",MONTH(A114))</f>
        <v/>
      </c>
    </row>
    <row r="115" customFormat="false" ht="15" hidden="false" customHeight="false" outlineLevel="0" collapsed="false">
      <c r="A115" s="14"/>
      <c r="B115" s="15"/>
      <c r="C115" s="15"/>
      <c r="D115" s="15"/>
      <c r="E115" s="15"/>
      <c r="F115" s="16"/>
      <c r="G115" s="16" t="str">
        <f aca="false">IF(A115="","",N(G114)+IF(B115="Pemasukan",F115,-F115))</f>
        <v/>
      </c>
      <c r="H115" s="15" t="str">
        <f aca="false">IF(A115="","",MONTH(A115))</f>
        <v/>
      </c>
    </row>
    <row r="116" customFormat="false" ht="15" hidden="false" customHeight="false" outlineLevel="0" collapsed="false">
      <c r="A116" s="14"/>
      <c r="B116" s="15"/>
      <c r="C116" s="15"/>
      <c r="D116" s="15"/>
      <c r="E116" s="15"/>
      <c r="F116" s="16"/>
      <c r="G116" s="16" t="str">
        <f aca="false">IF(A116="","",N(G115)+IF(B116="Pemasukan",F116,-F116))</f>
        <v/>
      </c>
      <c r="H116" s="15" t="str">
        <f aca="false">IF(A116="","",MONTH(A116))</f>
        <v/>
      </c>
    </row>
    <row r="117" customFormat="false" ht="15" hidden="false" customHeight="false" outlineLevel="0" collapsed="false">
      <c r="A117" s="14"/>
      <c r="B117" s="15"/>
      <c r="C117" s="15"/>
      <c r="D117" s="15"/>
      <c r="E117" s="15"/>
      <c r="F117" s="16"/>
      <c r="G117" s="16" t="str">
        <f aca="false">IF(A117="","",N(G116)+IF(B117="Pemasukan",F117,-F117))</f>
        <v/>
      </c>
      <c r="H117" s="15" t="str">
        <f aca="false">IF(A117="","",MONTH(A117))</f>
        <v/>
      </c>
    </row>
    <row r="118" customFormat="false" ht="15" hidden="false" customHeight="false" outlineLevel="0" collapsed="false">
      <c r="A118" s="14"/>
      <c r="B118" s="15"/>
      <c r="C118" s="15"/>
      <c r="D118" s="15"/>
      <c r="E118" s="15"/>
      <c r="F118" s="16"/>
      <c r="G118" s="16" t="str">
        <f aca="false">IF(A118="","",N(G117)+IF(B118="Pemasukan",F118,-F118))</f>
        <v/>
      </c>
      <c r="H118" s="15" t="str">
        <f aca="false">IF(A118="","",MONTH(A118))</f>
        <v/>
      </c>
    </row>
    <row r="119" customFormat="false" ht="15" hidden="false" customHeight="false" outlineLevel="0" collapsed="false">
      <c r="A119" s="14"/>
      <c r="B119" s="15"/>
      <c r="C119" s="15"/>
      <c r="D119" s="15"/>
      <c r="E119" s="15"/>
      <c r="F119" s="16"/>
      <c r="G119" s="16" t="str">
        <f aca="false">IF(A119="","",N(G118)+IF(B119="Pemasukan",F119,-F119))</f>
        <v/>
      </c>
      <c r="H119" s="15" t="str">
        <f aca="false">IF(A119="","",MONTH(A119))</f>
        <v/>
      </c>
    </row>
    <row r="120" customFormat="false" ht="15" hidden="false" customHeight="false" outlineLevel="0" collapsed="false">
      <c r="A120" s="14"/>
      <c r="B120" s="15"/>
      <c r="C120" s="15"/>
      <c r="D120" s="15"/>
      <c r="E120" s="15"/>
      <c r="F120" s="16"/>
      <c r="G120" s="16" t="str">
        <f aca="false">IF(A120="","",N(G119)+IF(B120="Pemasukan",F120,-F120))</f>
        <v/>
      </c>
      <c r="H120" s="15" t="str">
        <f aca="false">IF(A120="","",MONTH(A120))</f>
        <v/>
      </c>
    </row>
    <row r="121" customFormat="false" ht="15" hidden="false" customHeight="false" outlineLevel="0" collapsed="false">
      <c r="A121" s="14"/>
      <c r="B121" s="15"/>
      <c r="C121" s="15"/>
      <c r="D121" s="15"/>
      <c r="E121" s="15"/>
      <c r="F121" s="16"/>
      <c r="G121" s="16" t="str">
        <f aca="false">IF(A121="","",N(G120)+IF(B121="Pemasukan",F121,-F121))</f>
        <v/>
      </c>
      <c r="H121" s="15" t="str">
        <f aca="false">IF(A121="","",MONTH(A121))</f>
        <v/>
      </c>
    </row>
    <row r="122" customFormat="false" ht="15" hidden="false" customHeight="false" outlineLevel="0" collapsed="false">
      <c r="A122" s="14"/>
      <c r="B122" s="15"/>
      <c r="C122" s="15"/>
      <c r="D122" s="15"/>
      <c r="E122" s="15"/>
      <c r="F122" s="16"/>
      <c r="G122" s="16" t="str">
        <f aca="false">IF(A122="","",N(G121)+IF(B122="Pemasukan",F122,-F122))</f>
        <v/>
      </c>
      <c r="H122" s="15" t="str">
        <f aca="false">IF(A122="","",MONTH(A122))</f>
        <v/>
      </c>
    </row>
    <row r="123" customFormat="false" ht="15" hidden="false" customHeight="false" outlineLevel="0" collapsed="false">
      <c r="A123" s="14"/>
      <c r="B123" s="15"/>
      <c r="C123" s="15"/>
      <c r="D123" s="15"/>
      <c r="E123" s="15"/>
      <c r="F123" s="16"/>
      <c r="G123" s="16" t="str">
        <f aca="false">IF(A123="","",N(G122)+IF(B123="Pemasukan",F123,-F123))</f>
        <v/>
      </c>
      <c r="H123" s="15" t="str">
        <f aca="false">IF(A123="","",MONTH(A123))</f>
        <v/>
      </c>
    </row>
    <row r="124" customFormat="false" ht="15" hidden="false" customHeight="false" outlineLevel="0" collapsed="false">
      <c r="A124" s="14"/>
      <c r="B124" s="15"/>
      <c r="C124" s="15"/>
      <c r="D124" s="15"/>
      <c r="E124" s="15"/>
      <c r="F124" s="16"/>
      <c r="G124" s="16" t="str">
        <f aca="false">IF(A124="","",N(G123)+IF(B124="Pemasukan",F124,-F124))</f>
        <v/>
      </c>
      <c r="H124" s="15" t="str">
        <f aca="false">IF(A124="","",MONTH(A124))</f>
        <v/>
      </c>
    </row>
    <row r="125" customFormat="false" ht="15" hidden="false" customHeight="false" outlineLevel="0" collapsed="false">
      <c r="A125" s="14"/>
      <c r="B125" s="15"/>
      <c r="C125" s="15"/>
      <c r="D125" s="15"/>
      <c r="E125" s="15"/>
      <c r="F125" s="16"/>
      <c r="G125" s="16" t="str">
        <f aca="false">IF(A125="","",N(G124)+IF(B125="Pemasukan",F125,-F125))</f>
        <v/>
      </c>
      <c r="H125" s="15" t="str">
        <f aca="false">IF(A125="","",MONTH(A125))</f>
        <v/>
      </c>
    </row>
    <row r="126" customFormat="false" ht="15" hidden="false" customHeight="false" outlineLevel="0" collapsed="false">
      <c r="A126" s="14"/>
      <c r="B126" s="15"/>
      <c r="C126" s="15"/>
      <c r="D126" s="15"/>
      <c r="E126" s="15"/>
      <c r="F126" s="16"/>
      <c r="G126" s="16" t="str">
        <f aca="false">IF(A126="","",N(G125)+IF(B126="Pemasukan",F126,-F126))</f>
        <v/>
      </c>
      <c r="H126" s="15" t="str">
        <f aca="false">IF(A126="","",MONTH(A126))</f>
        <v/>
      </c>
    </row>
    <row r="127" customFormat="false" ht="15" hidden="false" customHeight="false" outlineLevel="0" collapsed="false">
      <c r="A127" s="14"/>
      <c r="B127" s="15"/>
      <c r="C127" s="15"/>
      <c r="D127" s="15"/>
      <c r="E127" s="15"/>
      <c r="F127" s="16"/>
      <c r="G127" s="16" t="str">
        <f aca="false">IF(A127="","",N(G126)+IF(B127="Pemasukan",F127,-F127))</f>
        <v/>
      </c>
      <c r="H127" s="15" t="str">
        <f aca="false">IF(A127="","",MONTH(A127))</f>
        <v/>
      </c>
    </row>
    <row r="128" customFormat="false" ht="15" hidden="false" customHeight="false" outlineLevel="0" collapsed="false">
      <c r="A128" s="14"/>
      <c r="B128" s="15"/>
      <c r="C128" s="15"/>
      <c r="D128" s="15"/>
      <c r="E128" s="15"/>
      <c r="F128" s="16"/>
      <c r="G128" s="16" t="str">
        <f aca="false">IF(A128="","",N(G127)+IF(B128="Pemasukan",F128,-F128))</f>
        <v/>
      </c>
      <c r="H128" s="15" t="str">
        <f aca="false">IF(A128="","",MONTH(A128))</f>
        <v/>
      </c>
    </row>
    <row r="129" customFormat="false" ht="15" hidden="false" customHeight="false" outlineLevel="0" collapsed="false">
      <c r="A129" s="14"/>
      <c r="B129" s="15"/>
      <c r="C129" s="15"/>
      <c r="D129" s="15"/>
      <c r="E129" s="15"/>
      <c r="F129" s="16"/>
      <c r="G129" s="16" t="str">
        <f aca="false">IF(A129="","",N(G128)+IF(B129="Pemasukan",F129,-F129))</f>
        <v/>
      </c>
      <c r="H129" s="15" t="str">
        <f aca="false">IF(A129="","",MONTH(A129))</f>
        <v/>
      </c>
    </row>
    <row r="130" customFormat="false" ht="15" hidden="false" customHeight="false" outlineLevel="0" collapsed="false">
      <c r="A130" s="14"/>
      <c r="B130" s="15"/>
      <c r="C130" s="15"/>
      <c r="D130" s="15"/>
      <c r="E130" s="15"/>
      <c r="F130" s="16"/>
      <c r="G130" s="16" t="str">
        <f aca="false">IF(A130="","",N(G129)+IF(B130="Pemasukan",F130,-F130))</f>
        <v/>
      </c>
      <c r="H130" s="15" t="str">
        <f aca="false">IF(A130="","",MONTH(A130))</f>
        <v/>
      </c>
    </row>
    <row r="131" customFormat="false" ht="15" hidden="false" customHeight="false" outlineLevel="0" collapsed="false">
      <c r="A131" s="14"/>
      <c r="B131" s="15"/>
      <c r="C131" s="15"/>
      <c r="D131" s="15"/>
      <c r="E131" s="15"/>
      <c r="F131" s="16"/>
      <c r="G131" s="16" t="str">
        <f aca="false">IF(A131="","",N(G130)+IF(B131="Pemasukan",F131,-F131))</f>
        <v/>
      </c>
      <c r="H131" s="15" t="str">
        <f aca="false">IF(A131="","",MONTH(A131))</f>
        <v/>
      </c>
    </row>
    <row r="132" customFormat="false" ht="15" hidden="false" customHeight="false" outlineLevel="0" collapsed="false">
      <c r="A132" s="14"/>
      <c r="B132" s="15"/>
      <c r="C132" s="15"/>
      <c r="D132" s="15"/>
      <c r="E132" s="15"/>
      <c r="F132" s="16"/>
      <c r="G132" s="16" t="str">
        <f aca="false">IF(A132="","",N(G131)+IF(B132="Pemasukan",F132,-F132))</f>
        <v/>
      </c>
      <c r="H132" s="15" t="str">
        <f aca="false">IF(A132="","",MONTH(A132))</f>
        <v/>
      </c>
    </row>
    <row r="133" customFormat="false" ht="15" hidden="false" customHeight="false" outlineLevel="0" collapsed="false">
      <c r="A133" s="14"/>
      <c r="B133" s="15"/>
      <c r="C133" s="15"/>
      <c r="D133" s="15"/>
      <c r="E133" s="15"/>
      <c r="F133" s="16"/>
      <c r="G133" s="16" t="str">
        <f aca="false">IF(A133="","",N(G132)+IF(B133="Pemasukan",F133,-F133))</f>
        <v/>
      </c>
      <c r="H133" s="15" t="str">
        <f aca="false">IF(A133="","",MONTH(A133))</f>
        <v/>
      </c>
    </row>
    <row r="134" customFormat="false" ht="15" hidden="false" customHeight="false" outlineLevel="0" collapsed="false">
      <c r="A134" s="14"/>
      <c r="B134" s="15"/>
      <c r="C134" s="15"/>
      <c r="D134" s="15"/>
      <c r="E134" s="15"/>
      <c r="F134" s="16"/>
      <c r="G134" s="16" t="str">
        <f aca="false">IF(A134="","",N(G133)+IF(B134="Pemasukan",F134,-F134))</f>
        <v/>
      </c>
      <c r="H134" s="15" t="str">
        <f aca="false">IF(A134="","",MONTH(A134))</f>
        <v/>
      </c>
    </row>
    <row r="135" customFormat="false" ht="15" hidden="false" customHeight="false" outlineLevel="0" collapsed="false">
      <c r="A135" s="14"/>
      <c r="B135" s="15"/>
      <c r="C135" s="15"/>
      <c r="D135" s="15"/>
      <c r="E135" s="15"/>
      <c r="F135" s="16"/>
      <c r="G135" s="16" t="str">
        <f aca="false">IF(A135="","",N(G134)+IF(B135="Pemasukan",F135,-F135))</f>
        <v/>
      </c>
      <c r="H135" s="15" t="str">
        <f aca="false">IF(A135="","",MONTH(A135))</f>
        <v/>
      </c>
    </row>
    <row r="136" customFormat="false" ht="15" hidden="false" customHeight="false" outlineLevel="0" collapsed="false">
      <c r="A136" s="14"/>
      <c r="B136" s="15"/>
      <c r="C136" s="15"/>
      <c r="D136" s="15"/>
      <c r="E136" s="15"/>
      <c r="F136" s="16"/>
      <c r="G136" s="16" t="str">
        <f aca="false">IF(A136="","",N(G135)+IF(B136="Pemasukan",F136,-F136))</f>
        <v/>
      </c>
      <c r="H136" s="15" t="str">
        <f aca="false">IF(A136="","",MONTH(A136))</f>
        <v/>
      </c>
    </row>
    <row r="137" customFormat="false" ht="15" hidden="false" customHeight="false" outlineLevel="0" collapsed="false">
      <c r="A137" s="14"/>
      <c r="B137" s="15"/>
      <c r="C137" s="15"/>
      <c r="D137" s="15"/>
      <c r="E137" s="15"/>
      <c r="F137" s="16"/>
      <c r="G137" s="16" t="str">
        <f aca="false">IF(A137="","",N(G136)+IF(B137="Pemasukan",F137,-F137))</f>
        <v/>
      </c>
      <c r="H137" s="15" t="str">
        <f aca="false">IF(A137="","",MONTH(A137))</f>
        <v/>
      </c>
    </row>
    <row r="138" customFormat="false" ht="15" hidden="false" customHeight="false" outlineLevel="0" collapsed="false">
      <c r="A138" s="14"/>
      <c r="B138" s="15"/>
      <c r="C138" s="15"/>
      <c r="D138" s="15"/>
      <c r="E138" s="15"/>
      <c r="F138" s="16"/>
      <c r="G138" s="16" t="str">
        <f aca="false">IF(A138="","",N(G137)+IF(B138="Pemasukan",F138,-F138))</f>
        <v/>
      </c>
      <c r="H138" s="15" t="str">
        <f aca="false">IF(A138="","",MONTH(A138))</f>
        <v/>
      </c>
    </row>
    <row r="139" customFormat="false" ht="15" hidden="false" customHeight="false" outlineLevel="0" collapsed="false">
      <c r="A139" s="14"/>
      <c r="B139" s="15"/>
      <c r="C139" s="15"/>
      <c r="D139" s="15"/>
      <c r="E139" s="15"/>
      <c r="F139" s="16"/>
      <c r="G139" s="16" t="str">
        <f aca="false">IF(A139="","",N(G138)+IF(B139="Pemasukan",F139,-F139))</f>
        <v/>
      </c>
      <c r="H139" s="15" t="str">
        <f aca="false">IF(A139="","",MONTH(A139))</f>
        <v/>
      </c>
    </row>
    <row r="140" customFormat="false" ht="15" hidden="false" customHeight="false" outlineLevel="0" collapsed="false">
      <c r="A140" s="14"/>
      <c r="B140" s="15"/>
      <c r="C140" s="15"/>
      <c r="D140" s="15"/>
      <c r="E140" s="15"/>
      <c r="F140" s="16"/>
      <c r="G140" s="16" t="str">
        <f aca="false">IF(A140="","",N(G139)+IF(B140="Pemasukan",F140,-F140))</f>
        <v/>
      </c>
      <c r="H140" s="15" t="str">
        <f aca="false">IF(A140="","",MONTH(A140))</f>
        <v/>
      </c>
    </row>
    <row r="141" customFormat="false" ht="15" hidden="false" customHeight="false" outlineLevel="0" collapsed="false">
      <c r="A141" s="14"/>
      <c r="B141" s="15"/>
      <c r="C141" s="15"/>
      <c r="D141" s="15"/>
      <c r="E141" s="15"/>
      <c r="F141" s="16"/>
      <c r="G141" s="16" t="str">
        <f aca="false">IF(A141="","",N(G140)+IF(B141="Pemasukan",F141,-F141))</f>
        <v/>
      </c>
      <c r="H141" s="15" t="str">
        <f aca="false">IF(A141="","",MONTH(A141))</f>
        <v/>
      </c>
    </row>
    <row r="142" customFormat="false" ht="15" hidden="false" customHeight="false" outlineLevel="0" collapsed="false">
      <c r="A142" s="14"/>
      <c r="B142" s="15"/>
      <c r="C142" s="15"/>
      <c r="D142" s="15"/>
      <c r="E142" s="15"/>
      <c r="F142" s="16"/>
      <c r="G142" s="16" t="str">
        <f aca="false">IF(A142="","",N(G141)+IF(B142="Pemasukan",F142,-F142))</f>
        <v/>
      </c>
      <c r="H142" s="15" t="str">
        <f aca="false">IF(A142="","",MONTH(A142))</f>
        <v/>
      </c>
    </row>
    <row r="143" customFormat="false" ht="15" hidden="false" customHeight="false" outlineLevel="0" collapsed="false">
      <c r="A143" s="14"/>
      <c r="B143" s="15"/>
      <c r="C143" s="15"/>
      <c r="D143" s="15"/>
      <c r="E143" s="15"/>
      <c r="F143" s="16"/>
      <c r="G143" s="16" t="str">
        <f aca="false">IF(A143="","",N(G142)+IF(B143="Pemasukan",F143,-F143))</f>
        <v/>
      </c>
      <c r="H143" s="15" t="str">
        <f aca="false">IF(A143="","",MONTH(A143))</f>
        <v/>
      </c>
    </row>
    <row r="144" customFormat="false" ht="15" hidden="false" customHeight="false" outlineLevel="0" collapsed="false">
      <c r="A144" s="14"/>
      <c r="B144" s="15"/>
      <c r="C144" s="15"/>
      <c r="D144" s="15"/>
      <c r="E144" s="15"/>
      <c r="F144" s="16"/>
      <c r="G144" s="16" t="str">
        <f aca="false">IF(A144="","",N(G143)+IF(B144="Pemasukan",F144,-F144))</f>
        <v/>
      </c>
      <c r="H144" s="15" t="str">
        <f aca="false">IF(A144="","",MONTH(A144))</f>
        <v/>
      </c>
    </row>
    <row r="145" customFormat="false" ht="15" hidden="false" customHeight="false" outlineLevel="0" collapsed="false">
      <c r="A145" s="14"/>
      <c r="B145" s="15"/>
      <c r="C145" s="15"/>
      <c r="D145" s="15"/>
      <c r="E145" s="15"/>
      <c r="F145" s="16"/>
      <c r="G145" s="16" t="str">
        <f aca="false">IF(A145="","",N(G144)+IF(B145="Pemasukan",F145,-F145))</f>
        <v/>
      </c>
      <c r="H145" s="15" t="str">
        <f aca="false">IF(A145="","",MONTH(A145))</f>
        <v/>
      </c>
    </row>
    <row r="146" customFormat="false" ht="15" hidden="false" customHeight="false" outlineLevel="0" collapsed="false">
      <c r="A146" s="14"/>
      <c r="B146" s="15"/>
      <c r="C146" s="15"/>
      <c r="D146" s="15"/>
      <c r="E146" s="15"/>
      <c r="F146" s="16"/>
      <c r="G146" s="16" t="str">
        <f aca="false">IF(A146="","",N(G145)+IF(B146="Pemasukan",F146,-F146))</f>
        <v/>
      </c>
      <c r="H146" s="15" t="str">
        <f aca="false">IF(A146="","",MONTH(A146))</f>
        <v/>
      </c>
    </row>
    <row r="147" customFormat="false" ht="15" hidden="false" customHeight="false" outlineLevel="0" collapsed="false">
      <c r="A147" s="14"/>
      <c r="B147" s="15"/>
      <c r="C147" s="15"/>
      <c r="D147" s="15"/>
      <c r="E147" s="15"/>
      <c r="F147" s="16"/>
      <c r="G147" s="16" t="str">
        <f aca="false">IF(A147="","",N(G146)+IF(B147="Pemasukan",F147,-F147))</f>
        <v/>
      </c>
      <c r="H147" s="15" t="str">
        <f aca="false">IF(A147="","",MONTH(A147))</f>
        <v/>
      </c>
    </row>
    <row r="148" customFormat="false" ht="15" hidden="false" customHeight="false" outlineLevel="0" collapsed="false">
      <c r="A148" s="14"/>
      <c r="B148" s="15"/>
      <c r="C148" s="15"/>
      <c r="D148" s="15"/>
      <c r="E148" s="15"/>
      <c r="F148" s="16"/>
      <c r="G148" s="16" t="str">
        <f aca="false">IF(A148="","",N(G147)+IF(B148="Pemasukan",F148,-F148))</f>
        <v/>
      </c>
      <c r="H148" s="15" t="str">
        <f aca="false">IF(A148="","",MONTH(A148))</f>
        <v/>
      </c>
    </row>
    <row r="149" customFormat="false" ht="15" hidden="false" customHeight="false" outlineLevel="0" collapsed="false">
      <c r="A149" s="14"/>
      <c r="B149" s="15"/>
      <c r="C149" s="15"/>
      <c r="D149" s="15"/>
      <c r="E149" s="15"/>
      <c r="F149" s="16"/>
      <c r="G149" s="16" t="str">
        <f aca="false">IF(A149="","",N(G148)+IF(B149="Pemasukan",F149,-F149))</f>
        <v/>
      </c>
      <c r="H149" s="15" t="str">
        <f aca="false">IF(A149="","",MONTH(A149))</f>
        <v/>
      </c>
    </row>
    <row r="150" customFormat="false" ht="15" hidden="false" customHeight="false" outlineLevel="0" collapsed="false">
      <c r="A150" s="14"/>
      <c r="B150" s="15"/>
      <c r="C150" s="15"/>
      <c r="D150" s="15"/>
      <c r="E150" s="15"/>
      <c r="F150" s="16"/>
      <c r="G150" s="16" t="str">
        <f aca="false">IF(A150="","",N(G149)+IF(B150="Pemasukan",F150,-F150))</f>
        <v/>
      </c>
      <c r="H150" s="15" t="str">
        <f aca="false">IF(A150="","",MONTH(A150))</f>
        <v/>
      </c>
    </row>
    <row r="151" customFormat="false" ht="15" hidden="false" customHeight="false" outlineLevel="0" collapsed="false">
      <c r="A151" s="14"/>
      <c r="B151" s="15"/>
      <c r="C151" s="15"/>
      <c r="D151" s="15"/>
      <c r="E151" s="15"/>
      <c r="F151" s="16"/>
      <c r="G151" s="16" t="str">
        <f aca="false">IF(A151="","",N(G150)+IF(B151="Pemasukan",F151,-F151))</f>
        <v/>
      </c>
      <c r="H151" s="15" t="str">
        <f aca="false">IF(A151="","",MONTH(A151))</f>
        <v/>
      </c>
    </row>
    <row r="152" customFormat="false" ht="15" hidden="false" customHeight="false" outlineLevel="0" collapsed="false">
      <c r="A152" s="14"/>
      <c r="B152" s="15"/>
      <c r="C152" s="15"/>
      <c r="D152" s="15"/>
      <c r="E152" s="15"/>
      <c r="F152" s="16"/>
      <c r="G152" s="16" t="str">
        <f aca="false">IF(A152="","",N(G151)+IF(B152="Pemasukan",F152,-F152))</f>
        <v/>
      </c>
      <c r="H152" s="15" t="str">
        <f aca="false">IF(A152="","",MONTH(A152))</f>
        <v/>
      </c>
    </row>
    <row r="153" customFormat="false" ht="15" hidden="false" customHeight="false" outlineLevel="0" collapsed="false">
      <c r="A153" s="14"/>
      <c r="B153" s="15"/>
      <c r="C153" s="15"/>
      <c r="D153" s="15"/>
      <c r="E153" s="15"/>
      <c r="F153" s="16"/>
      <c r="G153" s="16" t="str">
        <f aca="false">IF(A153="","",N(G152)+IF(B153="Pemasukan",F153,-F153))</f>
        <v/>
      </c>
      <c r="H153" s="15" t="str">
        <f aca="false">IF(A153="","",MONTH(A153))</f>
        <v/>
      </c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C4:C153" type="list">
      <formula1>SETTINGS!$A$4:$A$14</formula1>
      <formula2>0</formula2>
    </dataValidation>
    <dataValidation allowBlank="true" errorStyle="stop" operator="between" showDropDown="false" showErrorMessage="false" showInputMessage="false" sqref="E4:E153" type="list">
      <formula1>SETTINGS!$E$4:$E$9</formula1>
      <formula2>0</formula2>
    </dataValidation>
    <dataValidation allowBlank="true" errorStyle="stop" operator="between" showDropDown="false" showErrorMessage="false" showInputMessage="false" sqref="B4:B153" type="list">
      <formula1>SETTINGS!$G$4:$G$5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7" t="s">
        <v>58</v>
      </c>
      <c r="B1" s="17"/>
      <c r="C1" s="17"/>
      <c r="D1" s="17"/>
      <c r="E1" s="17"/>
    </row>
    <row r="3" customFormat="false" ht="15" hidden="false" customHeight="false" outlineLevel="0" collapsed="false">
      <c r="A3" s="18" t="s">
        <v>59</v>
      </c>
      <c r="B3" s="19" t="s">
        <v>12</v>
      </c>
    </row>
    <row r="5" customFormat="false" ht="15" hidden="false" customHeight="false" outlineLevel="0" collapsed="false">
      <c r="A5" s="6" t="s">
        <v>45</v>
      </c>
      <c r="B5" s="6" t="s">
        <v>60</v>
      </c>
      <c r="C5" s="6" t="s">
        <v>61</v>
      </c>
      <c r="D5" s="6" t="s">
        <v>62</v>
      </c>
      <c r="E5" s="6" t="s">
        <v>63</v>
      </c>
    </row>
    <row r="6" customFormat="false" ht="15" hidden="false" customHeight="false" outlineLevel="0" collapsed="false">
      <c r="A6" s="7" t="s">
        <v>8</v>
      </c>
      <c r="B6" s="20" t="n">
        <f aca="false">IFERROR(INDEX('BUDGETING TAHUNAN'!$B$4:$M$14,MATCH($A6,'BUDGETING TAHUNAN'!$A$4:$A$14,0),MATCH($B$3,'BUDGETING TAHUNAN'!$B$3:$M$3,0)),0)</f>
        <v>0</v>
      </c>
      <c r="C6" s="20" t="n">
        <f aca="false">SUMIFS('CATATAN PENGELUARAN'!$F$4:$F$153,'CATATAN PENGELUARAN'!$C$4:$C$153,$A6,'CATATAN PENGELUARAN'!$H$4:$H$153,INDEX(SETTINGS!$J$4:$J$15,MATCH($B$3,SETTINGS!$I$4:$I$15,0)),'CATATAN PENGELUARAN'!$B$4:$B$153,"Pengeluaran")</f>
        <v>0</v>
      </c>
      <c r="D6" s="20" t="n">
        <f aca="false">B6-C6</f>
        <v>0</v>
      </c>
      <c r="E6" s="21" t="n">
        <f aca="false">IFERROR(C6/B6,0)</f>
        <v>0</v>
      </c>
    </row>
    <row r="7" customFormat="false" ht="15" hidden="false" customHeight="false" outlineLevel="0" collapsed="false">
      <c r="A7" s="7" t="s">
        <v>13</v>
      </c>
      <c r="B7" s="20" t="n">
        <f aca="false">IFERROR(INDEX('BUDGETING TAHUNAN'!$B$4:$M$14,MATCH($A7,'BUDGETING TAHUNAN'!$A$4:$A$14,0),MATCH($B$3,'BUDGETING TAHUNAN'!$B$3:$M$3,0)),0)</f>
        <v>0</v>
      </c>
      <c r="C7" s="20" t="n">
        <f aca="false">SUMIFS('CATATAN PENGELUARAN'!$F$4:$F$153,'CATATAN PENGELUARAN'!$C$4:$C$153,$A7,'CATATAN PENGELUARAN'!$H$4:$H$153,INDEX(SETTINGS!$J$4:$J$15,MATCH($B$3,SETTINGS!$I$4:$I$15,0)),'CATATAN PENGELUARAN'!$B$4:$B$153,"Pengeluaran")</f>
        <v>0</v>
      </c>
      <c r="D7" s="20" t="n">
        <f aca="false">B7-C7</f>
        <v>0</v>
      </c>
      <c r="E7" s="21" t="n">
        <f aca="false">IFERROR(C7/B7,0)</f>
        <v>0</v>
      </c>
    </row>
    <row r="8" customFormat="false" ht="15" hidden="false" customHeight="false" outlineLevel="0" collapsed="false">
      <c r="A8" s="7" t="s">
        <v>18</v>
      </c>
      <c r="B8" s="20" t="n">
        <f aca="false">IFERROR(INDEX('BUDGETING TAHUNAN'!$B$4:$M$14,MATCH($A8,'BUDGETING TAHUNAN'!$A$4:$A$14,0),MATCH($B$3,'BUDGETING TAHUNAN'!$B$3:$M$3,0)),0)</f>
        <v>0</v>
      </c>
      <c r="C8" s="20" t="n">
        <f aca="false">SUMIFS('CATATAN PENGELUARAN'!$F$4:$F$153,'CATATAN PENGELUARAN'!$C$4:$C$153,$A8,'CATATAN PENGELUARAN'!$H$4:$H$153,INDEX(SETTINGS!$J$4:$J$15,MATCH($B$3,SETTINGS!$I$4:$I$15,0)),'CATATAN PENGELUARAN'!$B$4:$B$153,"Pengeluaran")</f>
        <v>0</v>
      </c>
      <c r="D8" s="20" t="n">
        <f aca="false">B8-C8</f>
        <v>0</v>
      </c>
      <c r="E8" s="21" t="n">
        <f aca="false">IFERROR(C8/B8,0)</f>
        <v>0</v>
      </c>
    </row>
    <row r="9" customFormat="false" ht="15" hidden="false" customHeight="false" outlineLevel="0" collapsed="false">
      <c r="A9" s="7" t="s">
        <v>22</v>
      </c>
      <c r="B9" s="20" t="n">
        <f aca="false">IFERROR(INDEX('BUDGETING TAHUNAN'!$B$4:$M$14,MATCH($A9,'BUDGETING TAHUNAN'!$A$4:$A$14,0),MATCH($B$3,'BUDGETING TAHUNAN'!$B$3:$M$3,0)),0)</f>
        <v>0</v>
      </c>
      <c r="C9" s="20" t="n">
        <f aca="false">SUMIFS('CATATAN PENGELUARAN'!$F$4:$F$153,'CATATAN PENGELUARAN'!$C$4:$C$153,$A9,'CATATAN PENGELUARAN'!$H$4:$H$153,INDEX(SETTINGS!$J$4:$J$15,MATCH($B$3,SETTINGS!$I$4:$I$15,0)),'CATATAN PENGELUARAN'!$B$4:$B$153,"Pengeluaran")</f>
        <v>0</v>
      </c>
      <c r="D9" s="20" t="n">
        <f aca="false">B9-C9</f>
        <v>0</v>
      </c>
      <c r="E9" s="21" t="n">
        <f aca="false">IFERROR(C9/B9,0)</f>
        <v>0</v>
      </c>
    </row>
    <row r="10" customFormat="false" ht="15" hidden="false" customHeight="false" outlineLevel="0" collapsed="false">
      <c r="A10" s="7" t="s">
        <v>26</v>
      </c>
      <c r="B10" s="20" t="n">
        <f aca="false">IFERROR(INDEX('BUDGETING TAHUNAN'!$B$4:$M$14,MATCH($A10,'BUDGETING TAHUNAN'!$A$4:$A$14,0),MATCH($B$3,'BUDGETING TAHUNAN'!$B$3:$M$3,0)),0)</f>
        <v>0</v>
      </c>
      <c r="C10" s="20" t="n">
        <f aca="false">SUMIFS('CATATAN PENGELUARAN'!$F$4:$F$153,'CATATAN PENGELUARAN'!$C$4:$C$153,$A10,'CATATAN PENGELUARAN'!$H$4:$H$153,INDEX(SETTINGS!$J$4:$J$15,MATCH($B$3,SETTINGS!$I$4:$I$15,0)),'CATATAN PENGELUARAN'!$B$4:$B$153,"Pengeluaran")</f>
        <v>0</v>
      </c>
      <c r="D10" s="20" t="n">
        <f aca="false">B10-C10</f>
        <v>0</v>
      </c>
      <c r="E10" s="21" t="n">
        <f aca="false">IFERROR(C10/B10,0)</f>
        <v>0</v>
      </c>
    </row>
    <row r="11" customFormat="false" ht="15" hidden="false" customHeight="false" outlineLevel="0" collapsed="false">
      <c r="A11" s="7" t="s">
        <v>30</v>
      </c>
      <c r="B11" s="20" t="n">
        <f aca="false">IFERROR(INDEX('BUDGETING TAHUNAN'!$B$4:$M$14,MATCH($A11,'BUDGETING TAHUNAN'!$A$4:$A$14,0),MATCH($B$3,'BUDGETING TAHUNAN'!$B$3:$M$3,0)),0)</f>
        <v>0</v>
      </c>
      <c r="C11" s="20" t="n">
        <f aca="false">SUMIFS('CATATAN PENGELUARAN'!$F$4:$F$153,'CATATAN PENGELUARAN'!$C$4:$C$153,$A11,'CATATAN PENGELUARAN'!$H$4:$H$153,INDEX(SETTINGS!$J$4:$J$15,MATCH($B$3,SETTINGS!$I$4:$I$15,0)),'CATATAN PENGELUARAN'!$B$4:$B$153,"Pengeluaran")</f>
        <v>0</v>
      </c>
      <c r="D11" s="20" t="n">
        <f aca="false">B11-C11</f>
        <v>0</v>
      </c>
      <c r="E11" s="21" t="n">
        <f aca="false">IFERROR(C11/B11,0)</f>
        <v>0</v>
      </c>
    </row>
    <row r="12" customFormat="false" ht="15" hidden="false" customHeight="false" outlineLevel="0" collapsed="false">
      <c r="A12" s="7" t="s">
        <v>33</v>
      </c>
      <c r="B12" s="20" t="n">
        <f aca="false">IFERROR(INDEX('BUDGETING TAHUNAN'!$B$4:$M$14,MATCH($A12,'BUDGETING TAHUNAN'!$A$4:$A$14,0),MATCH($B$3,'BUDGETING TAHUNAN'!$B$3:$M$3,0)),0)</f>
        <v>0</v>
      </c>
      <c r="C12" s="20" t="n">
        <f aca="false">SUMIFS('CATATAN PENGELUARAN'!$F$4:$F$153,'CATATAN PENGELUARAN'!$C$4:$C$153,$A12,'CATATAN PENGELUARAN'!$H$4:$H$153,INDEX(SETTINGS!$J$4:$J$15,MATCH($B$3,SETTINGS!$I$4:$I$15,0)),'CATATAN PENGELUARAN'!$B$4:$B$153,"Pengeluaran")</f>
        <v>0</v>
      </c>
      <c r="D12" s="20" t="n">
        <f aca="false">B12-C12</f>
        <v>0</v>
      </c>
      <c r="E12" s="21" t="n">
        <f aca="false">IFERROR(C12/B12,0)</f>
        <v>0</v>
      </c>
    </row>
    <row r="13" customFormat="false" ht="15" hidden="false" customHeight="false" outlineLevel="0" collapsed="false">
      <c r="A13" s="7" t="s">
        <v>35</v>
      </c>
      <c r="B13" s="20" t="n">
        <f aca="false">IFERROR(INDEX('BUDGETING TAHUNAN'!$B$4:$M$14,MATCH($A13,'BUDGETING TAHUNAN'!$A$4:$A$14,0),MATCH($B$3,'BUDGETING TAHUNAN'!$B$3:$M$3,0)),0)</f>
        <v>0</v>
      </c>
      <c r="C13" s="20" t="n">
        <f aca="false">SUMIFS('CATATAN PENGELUARAN'!$F$4:$F$153,'CATATAN PENGELUARAN'!$C$4:$C$153,$A13,'CATATAN PENGELUARAN'!$H$4:$H$153,INDEX(SETTINGS!$J$4:$J$15,MATCH($B$3,SETTINGS!$I$4:$I$15,0)),'CATATAN PENGELUARAN'!$B$4:$B$153,"Pengeluaran")</f>
        <v>0</v>
      </c>
      <c r="D13" s="20" t="n">
        <f aca="false">B13-C13</f>
        <v>0</v>
      </c>
      <c r="E13" s="21" t="n">
        <f aca="false">IFERROR(C13/B13,0)</f>
        <v>0</v>
      </c>
    </row>
    <row r="14" customFormat="false" ht="15" hidden="false" customHeight="false" outlineLevel="0" collapsed="false">
      <c r="A14" s="7" t="s">
        <v>37</v>
      </c>
      <c r="B14" s="20" t="n">
        <f aca="false">IFERROR(INDEX('BUDGETING TAHUNAN'!$B$4:$M$14,MATCH($A14,'BUDGETING TAHUNAN'!$A$4:$A$14,0),MATCH($B$3,'BUDGETING TAHUNAN'!$B$3:$M$3,0)),0)</f>
        <v>0</v>
      </c>
      <c r="C14" s="20" t="n">
        <f aca="false">SUMIFS('CATATAN PENGELUARAN'!$F$4:$F$153,'CATATAN PENGELUARAN'!$C$4:$C$153,$A14,'CATATAN PENGELUARAN'!$H$4:$H$153,INDEX(SETTINGS!$J$4:$J$15,MATCH($B$3,SETTINGS!$I$4:$I$15,0)),'CATATAN PENGELUARAN'!$B$4:$B$153,"Pengeluaran")</f>
        <v>0</v>
      </c>
      <c r="D14" s="20" t="n">
        <f aca="false">B14-C14</f>
        <v>0</v>
      </c>
      <c r="E14" s="21" t="n">
        <f aca="false">IFERROR(C14/B14,0)</f>
        <v>0</v>
      </c>
    </row>
    <row r="15" customFormat="false" ht="15" hidden="false" customHeight="false" outlineLevel="0" collapsed="false">
      <c r="A15" s="7" t="s">
        <v>39</v>
      </c>
      <c r="B15" s="20" t="n">
        <f aca="false">IFERROR(INDEX('BUDGETING TAHUNAN'!$B$4:$M$14,MATCH($A15,'BUDGETING TAHUNAN'!$A$4:$A$14,0),MATCH($B$3,'BUDGETING TAHUNAN'!$B$3:$M$3,0)),0)</f>
        <v>0</v>
      </c>
      <c r="C15" s="20" t="n">
        <f aca="false">SUMIFS('CATATAN PENGELUARAN'!$F$4:$F$153,'CATATAN PENGELUARAN'!$C$4:$C$153,$A15,'CATATAN PENGELUARAN'!$H$4:$H$153,INDEX(SETTINGS!$J$4:$J$15,MATCH($B$3,SETTINGS!$I$4:$I$15,0)),'CATATAN PENGELUARAN'!$B$4:$B$153,"Pengeluaran")</f>
        <v>0</v>
      </c>
      <c r="D15" s="20" t="n">
        <f aca="false">B15-C15</f>
        <v>0</v>
      </c>
      <c r="E15" s="21" t="n">
        <f aca="false">IFERROR(C15/B15,0)</f>
        <v>0</v>
      </c>
    </row>
    <row r="16" customFormat="false" ht="15" hidden="false" customHeight="false" outlineLevel="0" collapsed="false">
      <c r="A16" s="7" t="s">
        <v>27</v>
      </c>
      <c r="B16" s="20" t="n">
        <f aca="false">IFERROR(INDEX('BUDGETING TAHUNAN'!$B$4:$M$14,MATCH($A16,'BUDGETING TAHUNAN'!$A$4:$A$14,0),MATCH($B$3,'BUDGETING TAHUNAN'!$B$3:$M$3,0)),0)</f>
        <v>0</v>
      </c>
      <c r="C16" s="20" t="n">
        <f aca="false">SUMIFS('CATATAN PENGELUARAN'!$F$4:$F$153,'CATATAN PENGELUARAN'!$C$4:$C$153,$A16,'CATATAN PENGELUARAN'!$H$4:$H$153,INDEX(SETTINGS!$J$4:$J$15,MATCH($B$3,SETTINGS!$I$4:$I$15,0)),'CATATAN PENGELUARAN'!$B$4:$B$153,"Pengeluaran")</f>
        <v>0</v>
      </c>
      <c r="D16" s="20" t="n">
        <f aca="false">B16-C16</f>
        <v>0</v>
      </c>
      <c r="E16" s="21" t="n">
        <f aca="false">IFERROR(C16/B16,0)</f>
        <v>0</v>
      </c>
    </row>
    <row r="17" customFormat="false" ht="15" hidden="false" customHeight="false" outlineLevel="0" collapsed="false">
      <c r="A17" s="9" t="s">
        <v>64</v>
      </c>
      <c r="B17" s="10" t="n">
        <f aca="false">SUM(B6:B16)</f>
        <v>0</v>
      </c>
      <c r="C17" s="10" t="n">
        <f aca="false">SUM(C6:C16)</f>
        <v>0</v>
      </c>
      <c r="D17" s="10" t="n">
        <f aca="false">B17-C17</f>
        <v>0</v>
      </c>
      <c r="E17" s="22" t="n">
        <f aca="false">IFERROR(C17/B17,0)</f>
        <v>0</v>
      </c>
    </row>
  </sheetData>
  <mergeCells count="1">
    <mergeCell ref="A1:E1"/>
  </mergeCells>
  <conditionalFormatting sqref="D6:D17">
    <cfRule type="cellIs" priority="2" operator="lessThan" aboveAverage="0" equalAverage="0" bottom="0" percent="0" rank="0" text="" dxfId="0">
      <formula>0</formula>
    </cfRule>
  </conditionalFormatting>
  <dataValidations count="1">
    <dataValidation allowBlank="false" errorStyle="stop" operator="between" showDropDown="false" showErrorMessage="false" showInputMessage="false" sqref="B3" type="list">
      <formula1>SETTINGS!$I$4:$I$15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23" t="s">
        <v>65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24" t="s">
        <v>66</v>
      </c>
      <c r="B3" s="24"/>
      <c r="C3" s="24"/>
      <c r="D3" s="24"/>
      <c r="E3" s="24"/>
      <c r="F3" s="24"/>
    </row>
    <row r="4" customFormat="false" ht="26.85" hidden="false" customHeight="false" outlineLevel="0" collapsed="false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</row>
    <row r="5" customFormat="false" ht="15" hidden="false" customHeight="false" outlineLevel="0" collapsed="false">
      <c r="A5" s="15" t="s">
        <v>73</v>
      </c>
      <c r="B5" s="25" t="n">
        <v>0</v>
      </c>
      <c r="C5" s="25" t="n">
        <v>0</v>
      </c>
      <c r="D5" s="26" t="n">
        <f aca="false">IFERROR(B5/C5,0)</f>
        <v>0</v>
      </c>
      <c r="E5" s="27"/>
      <c r="F5" s="15"/>
    </row>
    <row r="6" customFormat="false" ht="15" hidden="false" customHeight="false" outlineLevel="0" collapsed="false">
      <c r="A6" s="15" t="s">
        <v>20</v>
      </c>
      <c r="B6" s="25" t="n">
        <v>0</v>
      </c>
      <c r="C6" s="25" t="n">
        <v>0</v>
      </c>
      <c r="D6" s="26" t="n">
        <f aca="false">IFERROR(B6/C6,0)</f>
        <v>0</v>
      </c>
      <c r="E6" s="27"/>
      <c r="F6" s="15"/>
    </row>
    <row r="7" customFormat="false" ht="15" hidden="false" customHeight="false" outlineLevel="0" collapsed="false">
      <c r="A7" s="15" t="s">
        <v>74</v>
      </c>
      <c r="B7" s="25" t="n">
        <v>0</v>
      </c>
      <c r="C7" s="25" t="n">
        <v>0</v>
      </c>
      <c r="D7" s="26" t="n">
        <f aca="false">IFERROR(B7/C7,0)</f>
        <v>0</v>
      </c>
      <c r="E7" s="27"/>
      <c r="F7" s="15"/>
    </row>
    <row r="9" customFormat="false" ht="15" hidden="false" customHeight="false" outlineLevel="0" collapsed="false">
      <c r="A9" s="24" t="s">
        <v>75</v>
      </c>
      <c r="B9" s="24"/>
      <c r="C9" s="24"/>
      <c r="D9" s="24"/>
      <c r="E9" s="24"/>
      <c r="F9" s="24"/>
    </row>
    <row r="10" customFormat="false" ht="26.85" hidden="false" customHeight="false" outlineLevel="0" collapsed="false">
      <c r="A10" s="6" t="s">
        <v>67</v>
      </c>
      <c r="B10" s="6" t="s">
        <v>68</v>
      </c>
      <c r="C10" s="6" t="s">
        <v>69</v>
      </c>
      <c r="D10" s="6" t="s">
        <v>70</v>
      </c>
      <c r="E10" s="6" t="s">
        <v>71</v>
      </c>
      <c r="F10" s="6" t="s">
        <v>72</v>
      </c>
    </row>
    <row r="11" customFormat="false" ht="15" hidden="false" customHeight="false" outlineLevel="0" collapsed="false">
      <c r="A11" s="15" t="s">
        <v>76</v>
      </c>
      <c r="B11" s="25" t="n">
        <v>0</v>
      </c>
      <c r="C11" s="25" t="n">
        <v>0</v>
      </c>
      <c r="D11" s="26" t="n">
        <f aca="false">IFERROR(B11/C11,0)</f>
        <v>0</v>
      </c>
      <c r="E11" s="27"/>
      <c r="F11" s="15"/>
    </row>
    <row r="12" customFormat="false" ht="15" hidden="false" customHeight="false" outlineLevel="0" collapsed="false">
      <c r="A12" s="15" t="s">
        <v>77</v>
      </c>
      <c r="B12" s="25" t="n">
        <v>0</v>
      </c>
      <c r="C12" s="25" t="n">
        <v>0</v>
      </c>
      <c r="D12" s="26" t="n">
        <f aca="false">IFERROR(B12/C12,0)</f>
        <v>0</v>
      </c>
      <c r="E12" s="27"/>
      <c r="F12" s="15"/>
    </row>
    <row r="13" customFormat="false" ht="15" hidden="false" customHeight="false" outlineLevel="0" collapsed="false">
      <c r="A13" s="15" t="s">
        <v>78</v>
      </c>
      <c r="B13" s="25" t="n">
        <v>0</v>
      </c>
      <c r="C13" s="25" t="n">
        <v>0</v>
      </c>
      <c r="D13" s="26" t="n">
        <f aca="false">IFERROR(B13/C13,0)</f>
        <v>0</v>
      </c>
      <c r="E13" s="27"/>
      <c r="F13" s="15"/>
    </row>
    <row r="14" customFormat="false" ht="15" hidden="false" customHeight="false" outlineLevel="0" collapsed="false">
      <c r="A14" s="15" t="s">
        <v>79</v>
      </c>
      <c r="B14" s="25" t="n">
        <v>0</v>
      </c>
      <c r="C14" s="25" t="n">
        <v>0</v>
      </c>
      <c r="D14" s="26" t="n">
        <f aca="false">IFERROR(B14/C14,0)</f>
        <v>0</v>
      </c>
      <c r="E14" s="27"/>
      <c r="F14" s="15"/>
    </row>
    <row r="15" customFormat="false" ht="15" hidden="false" customHeight="false" outlineLevel="0" collapsed="false">
      <c r="A15" s="15" t="s">
        <v>80</v>
      </c>
      <c r="B15" s="25" t="n">
        <v>0</v>
      </c>
      <c r="C15" s="25" t="n">
        <v>0</v>
      </c>
      <c r="D15" s="26" t="n">
        <f aca="false">IFERROR(B15/C15,0)</f>
        <v>0</v>
      </c>
      <c r="E15" s="27"/>
      <c r="F15" s="15"/>
    </row>
    <row r="17" customFormat="false" ht="15" hidden="false" customHeight="false" outlineLevel="0" collapsed="false">
      <c r="A17" s="9" t="s">
        <v>81</v>
      </c>
      <c r="B17" s="10" t="n">
        <f aca="false">SUM(Aset_Likuid)+SUM(Aset_NonLikuid)</f>
        <v>0</v>
      </c>
    </row>
  </sheetData>
  <mergeCells count="3">
    <mergeCell ref="A1:F1"/>
    <mergeCell ref="A3:F3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28" t="s">
        <v>82</v>
      </c>
      <c r="B1" s="28"/>
      <c r="C1" s="28"/>
      <c r="D1" s="28"/>
      <c r="E1" s="28"/>
      <c r="F1" s="28"/>
      <c r="G1" s="28"/>
      <c r="H1" s="28"/>
    </row>
    <row r="3" customFormat="false" ht="15" hidden="false" customHeight="false" outlineLevel="0" collapsed="false">
      <c r="A3" s="18" t="s">
        <v>59</v>
      </c>
      <c r="B3" s="19" t="s">
        <v>12</v>
      </c>
      <c r="C3" s="29" t="n">
        <f aca="false">INDEX(SETTINGS!$J$4:$J$15,MATCH($B$3,SETTINGS!$I$4:$I$15,0))</f>
        <v>1</v>
      </c>
    </row>
    <row r="5" customFormat="false" ht="15" hidden="false" customHeight="false" outlineLevel="0" collapsed="false">
      <c r="A5" s="30" t="s">
        <v>83</v>
      </c>
      <c r="B5" s="30"/>
      <c r="C5" s="31" t="s">
        <v>84</v>
      </c>
      <c r="D5" s="31"/>
      <c r="E5" s="32" t="s">
        <v>85</v>
      </c>
      <c r="F5" s="32"/>
      <c r="G5" s="33" t="s">
        <v>86</v>
      </c>
      <c r="H5" s="33"/>
    </row>
    <row r="6" customFormat="false" ht="24" hidden="false" customHeight="true" outlineLevel="0" collapsed="false">
      <c r="A6" s="34" t="n">
        <f aca="false">SUMIFS('CATATAN PENGELUARAN'!$F$4:$F$153,'CATATAN PENGELUARAN'!$B$4:$B$153,"Pemasukan",'CATATAN PENGELUARAN'!$H$4:$H$153,$C$3)</f>
        <v>0</v>
      </c>
      <c r="B6" s="34"/>
      <c r="C6" s="34" t="n">
        <f aca="false">SUMIFS('CATATAN PENGELUARAN'!$F$4:$F$153,'CATATAN PENGELUARAN'!$B$4:$B$153,"Pengeluaran",'CATATAN PENGELUARAN'!$H$4:$H$153,$C$3)</f>
        <v>0</v>
      </c>
      <c r="D6" s="34"/>
      <c r="E6" s="34" t="n">
        <f aca="false">A6-C6</f>
        <v>0</v>
      </c>
      <c r="F6" s="34"/>
      <c r="G6" s="34" t="n">
        <f aca="false">IFERROR(INDEX('BUDGETING TAHUNAN'!$B$15:$M$15,1,MATCH($B$3,'BUDGETING TAHUNAN'!$B$3:$M$3,0)),0)-C6</f>
        <v>0</v>
      </c>
      <c r="H6" s="34"/>
    </row>
    <row r="9" customFormat="false" ht="15" hidden="false" customHeight="false" outlineLevel="0" collapsed="false">
      <c r="A9" s="35" t="s">
        <v>87</v>
      </c>
      <c r="B9" s="35"/>
      <c r="C9" s="35"/>
      <c r="D9" s="35"/>
      <c r="F9" s="35" t="s">
        <v>88</v>
      </c>
      <c r="G9" s="35"/>
      <c r="H9" s="35"/>
    </row>
    <row r="10" customFormat="false" ht="15" hidden="false" customHeight="false" outlineLevel="0" collapsed="false">
      <c r="A10" s="36" t="s">
        <v>45</v>
      </c>
      <c r="B10" s="36" t="s">
        <v>61</v>
      </c>
      <c r="F10" s="36" t="s">
        <v>57</v>
      </c>
      <c r="G10" s="36" t="s">
        <v>11</v>
      </c>
      <c r="H10" s="36" t="s">
        <v>16</v>
      </c>
    </row>
    <row r="11" customFormat="false" ht="15" hidden="false" customHeight="false" outlineLevel="0" collapsed="false">
      <c r="A11" s="15" t="s">
        <v>8</v>
      </c>
      <c r="B11" s="16" t="n">
        <f aca="false">'RINGKASAN BUDGETING'!C6</f>
        <v>0</v>
      </c>
      <c r="F11" s="15" t="s">
        <v>12</v>
      </c>
      <c r="G11" s="16" t="n">
        <f aca="false">SUMIFS('CATATAN PENGELUARAN'!$F$4:$F$153,'CATATAN PENGELUARAN'!$B$4:$B$153,"Pemasukan",'CATATAN PENGELUARAN'!$H$4:$H$153,1)</f>
        <v>0</v>
      </c>
      <c r="H11" s="16" t="n">
        <f aca="false">SUMIFS('CATATAN PENGELUARAN'!$F$4:$F$153,'CATATAN PENGELUARAN'!$B$4:$B$153,"Pengeluaran",'CATATAN PENGELUARAN'!$H$4:$H$153,1)</f>
        <v>0</v>
      </c>
    </row>
    <row r="12" customFormat="false" ht="15" hidden="false" customHeight="false" outlineLevel="0" collapsed="false">
      <c r="A12" s="15" t="s">
        <v>13</v>
      </c>
      <c r="B12" s="16" t="n">
        <f aca="false">'RINGKASAN BUDGETING'!C7</f>
        <v>0</v>
      </c>
      <c r="F12" s="15" t="s">
        <v>17</v>
      </c>
      <c r="G12" s="16" t="n">
        <f aca="false">SUMIFS('CATATAN PENGELUARAN'!$F$4:$F$153,'CATATAN PENGELUARAN'!$B$4:$B$153,"Pemasukan",'CATATAN PENGELUARAN'!$H$4:$H$153,2)</f>
        <v>0</v>
      </c>
      <c r="H12" s="16" t="n">
        <f aca="false">SUMIFS('CATATAN PENGELUARAN'!$F$4:$F$153,'CATATAN PENGELUARAN'!$B$4:$B$153,"Pengeluaran",'CATATAN PENGELUARAN'!$H$4:$H$153,2)</f>
        <v>0</v>
      </c>
    </row>
    <row r="13" customFormat="false" ht="15" hidden="false" customHeight="false" outlineLevel="0" collapsed="false">
      <c r="A13" s="15" t="s">
        <v>18</v>
      </c>
      <c r="B13" s="16" t="n">
        <f aca="false">'RINGKASAN BUDGETING'!C8</f>
        <v>0</v>
      </c>
      <c r="F13" s="15" t="s">
        <v>21</v>
      </c>
      <c r="G13" s="16" t="n">
        <f aca="false">SUMIFS('CATATAN PENGELUARAN'!$F$4:$F$153,'CATATAN PENGELUARAN'!$B$4:$B$153,"Pemasukan",'CATATAN PENGELUARAN'!$H$4:$H$153,3)</f>
        <v>0</v>
      </c>
      <c r="H13" s="16" t="n">
        <f aca="false">SUMIFS('CATATAN PENGELUARAN'!$F$4:$F$153,'CATATAN PENGELUARAN'!$B$4:$B$153,"Pengeluaran",'CATATAN PENGELUARAN'!$H$4:$H$153,3)</f>
        <v>0</v>
      </c>
    </row>
    <row r="14" customFormat="false" ht="15" hidden="false" customHeight="false" outlineLevel="0" collapsed="false">
      <c r="A14" s="15" t="s">
        <v>22</v>
      </c>
      <c r="B14" s="16" t="n">
        <f aca="false">'RINGKASAN BUDGETING'!C9</f>
        <v>0</v>
      </c>
      <c r="F14" s="15" t="s">
        <v>25</v>
      </c>
      <c r="G14" s="16" t="n">
        <f aca="false">SUMIFS('CATATAN PENGELUARAN'!$F$4:$F$153,'CATATAN PENGELUARAN'!$B$4:$B$153,"Pemasukan",'CATATAN PENGELUARAN'!$H$4:$H$153,4)</f>
        <v>0</v>
      </c>
      <c r="H14" s="16" t="n">
        <f aca="false">SUMIFS('CATATAN PENGELUARAN'!$F$4:$F$153,'CATATAN PENGELUARAN'!$B$4:$B$153,"Pengeluaran",'CATATAN PENGELUARAN'!$H$4:$H$153,4)</f>
        <v>0</v>
      </c>
    </row>
    <row r="15" customFormat="false" ht="15" hidden="false" customHeight="false" outlineLevel="0" collapsed="false">
      <c r="A15" s="15" t="s">
        <v>26</v>
      </c>
      <c r="B15" s="16" t="n">
        <f aca="false">'RINGKASAN BUDGETING'!C10</f>
        <v>0</v>
      </c>
      <c r="F15" s="15" t="s">
        <v>29</v>
      </c>
      <c r="G15" s="16" t="n">
        <f aca="false">SUMIFS('CATATAN PENGELUARAN'!$F$4:$F$153,'CATATAN PENGELUARAN'!$B$4:$B$153,"Pemasukan",'CATATAN PENGELUARAN'!$H$4:$H$153,5)</f>
        <v>0</v>
      </c>
      <c r="H15" s="16" t="n">
        <f aca="false">SUMIFS('CATATAN PENGELUARAN'!$F$4:$F$153,'CATATAN PENGELUARAN'!$B$4:$B$153,"Pengeluaran",'CATATAN PENGELUARAN'!$H$4:$H$153,5)</f>
        <v>0</v>
      </c>
    </row>
    <row r="16" customFormat="false" ht="15" hidden="false" customHeight="false" outlineLevel="0" collapsed="false">
      <c r="A16" s="15" t="s">
        <v>30</v>
      </c>
      <c r="B16" s="16" t="n">
        <f aca="false">'RINGKASAN BUDGETING'!C11</f>
        <v>0</v>
      </c>
      <c r="F16" s="15" t="s">
        <v>32</v>
      </c>
      <c r="G16" s="16" t="n">
        <f aca="false">SUMIFS('CATATAN PENGELUARAN'!$F$4:$F$153,'CATATAN PENGELUARAN'!$B$4:$B$153,"Pemasukan",'CATATAN PENGELUARAN'!$H$4:$H$153,6)</f>
        <v>0</v>
      </c>
      <c r="H16" s="16" t="n">
        <f aca="false">SUMIFS('CATATAN PENGELUARAN'!$F$4:$F$153,'CATATAN PENGELUARAN'!$B$4:$B$153,"Pengeluaran",'CATATAN PENGELUARAN'!$H$4:$H$153,6)</f>
        <v>0</v>
      </c>
    </row>
    <row r="17" customFormat="false" ht="15" hidden="false" customHeight="false" outlineLevel="0" collapsed="false">
      <c r="A17" s="15" t="s">
        <v>33</v>
      </c>
      <c r="B17" s="16" t="n">
        <f aca="false">'RINGKASAN BUDGETING'!C12</f>
        <v>0</v>
      </c>
      <c r="F17" s="15" t="s">
        <v>34</v>
      </c>
      <c r="G17" s="16" t="n">
        <f aca="false">SUMIFS('CATATAN PENGELUARAN'!$F$4:$F$153,'CATATAN PENGELUARAN'!$B$4:$B$153,"Pemasukan",'CATATAN PENGELUARAN'!$H$4:$H$153,7)</f>
        <v>0</v>
      </c>
      <c r="H17" s="16" t="n">
        <f aca="false">SUMIFS('CATATAN PENGELUARAN'!$F$4:$F$153,'CATATAN PENGELUARAN'!$B$4:$B$153,"Pengeluaran",'CATATAN PENGELUARAN'!$H$4:$H$153,7)</f>
        <v>0</v>
      </c>
    </row>
    <row r="18" customFormat="false" ht="15" hidden="false" customHeight="false" outlineLevel="0" collapsed="false">
      <c r="A18" s="15" t="s">
        <v>35</v>
      </c>
      <c r="B18" s="16" t="n">
        <f aca="false">'RINGKASAN BUDGETING'!C13</f>
        <v>0</v>
      </c>
      <c r="F18" s="15" t="s">
        <v>36</v>
      </c>
      <c r="G18" s="16" t="n">
        <f aca="false">SUMIFS('CATATAN PENGELUARAN'!$F$4:$F$153,'CATATAN PENGELUARAN'!$B$4:$B$153,"Pemasukan",'CATATAN PENGELUARAN'!$H$4:$H$153,8)</f>
        <v>0</v>
      </c>
      <c r="H18" s="16" t="n">
        <f aca="false">SUMIFS('CATATAN PENGELUARAN'!$F$4:$F$153,'CATATAN PENGELUARAN'!$B$4:$B$153,"Pengeluaran",'CATATAN PENGELUARAN'!$H$4:$H$153,8)</f>
        <v>0</v>
      </c>
    </row>
    <row r="19" customFormat="false" ht="15" hidden="false" customHeight="false" outlineLevel="0" collapsed="false">
      <c r="A19" s="15" t="s">
        <v>37</v>
      </c>
      <c r="B19" s="16" t="n">
        <f aca="false">'RINGKASAN BUDGETING'!C14</f>
        <v>0</v>
      </c>
      <c r="F19" s="15" t="s">
        <v>38</v>
      </c>
      <c r="G19" s="16" t="n">
        <f aca="false">SUMIFS('CATATAN PENGELUARAN'!$F$4:$F$153,'CATATAN PENGELUARAN'!$B$4:$B$153,"Pemasukan",'CATATAN PENGELUARAN'!$H$4:$H$153,9)</f>
        <v>0</v>
      </c>
      <c r="H19" s="16" t="n">
        <f aca="false">SUMIFS('CATATAN PENGELUARAN'!$F$4:$F$153,'CATATAN PENGELUARAN'!$B$4:$B$153,"Pengeluaran",'CATATAN PENGELUARAN'!$H$4:$H$153,9)</f>
        <v>0</v>
      </c>
    </row>
    <row r="20" customFormat="false" ht="15" hidden="false" customHeight="false" outlineLevel="0" collapsed="false">
      <c r="A20" s="15" t="s">
        <v>39</v>
      </c>
      <c r="B20" s="16" t="n">
        <f aca="false">'RINGKASAN BUDGETING'!C15</f>
        <v>0</v>
      </c>
      <c r="F20" s="15" t="s">
        <v>40</v>
      </c>
      <c r="G20" s="16" t="n">
        <f aca="false">SUMIFS('CATATAN PENGELUARAN'!$F$4:$F$153,'CATATAN PENGELUARAN'!$B$4:$B$153,"Pemasukan",'CATATAN PENGELUARAN'!$H$4:$H$153,10)</f>
        <v>0</v>
      </c>
      <c r="H20" s="16" t="n">
        <f aca="false">SUMIFS('CATATAN PENGELUARAN'!$F$4:$F$153,'CATATAN PENGELUARAN'!$B$4:$B$153,"Pengeluaran",'CATATAN PENGELUARAN'!$H$4:$H$153,10)</f>
        <v>0</v>
      </c>
    </row>
    <row r="21" customFormat="false" ht="15" hidden="false" customHeight="false" outlineLevel="0" collapsed="false">
      <c r="A21" s="15" t="s">
        <v>27</v>
      </c>
      <c r="B21" s="16" t="n">
        <f aca="false">'RINGKASAN BUDGETING'!C16</f>
        <v>0</v>
      </c>
      <c r="F21" s="15" t="s">
        <v>41</v>
      </c>
      <c r="G21" s="16" t="n">
        <f aca="false">SUMIFS('CATATAN PENGELUARAN'!$F$4:$F$153,'CATATAN PENGELUARAN'!$B$4:$B$153,"Pemasukan",'CATATAN PENGELUARAN'!$H$4:$H$153,11)</f>
        <v>0</v>
      </c>
      <c r="H21" s="16" t="n">
        <f aca="false">SUMIFS('CATATAN PENGELUARAN'!$F$4:$F$153,'CATATAN PENGELUARAN'!$B$4:$B$153,"Pengeluaran",'CATATAN PENGELUARAN'!$H$4:$H$153,11)</f>
        <v>0</v>
      </c>
    </row>
    <row r="22" customFormat="false" ht="15" hidden="false" customHeight="false" outlineLevel="0" collapsed="false">
      <c r="F22" s="15" t="s">
        <v>42</v>
      </c>
      <c r="G22" s="16" t="n">
        <f aca="false">SUMIFS('CATATAN PENGELUARAN'!$F$4:$F$153,'CATATAN PENGELUARAN'!$B$4:$B$153,"Pemasukan",'CATATAN PENGELUARAN'!$H$4:$H$153,12)</f>
        <v>0</v>
      </c>
      <c r="H22" s="16" t="n">
        <f aca="false">SUMIFS('CATATAN PENGELUARAN'!$F$4:$F$153,'CATATAN PENGELUARAN'!$B$4:$B$153,"Pengeluaran",'CATATAN PENGELUARAN'!$H$4:$H$153,12)</f>
        <v>0</v>
      </c>
    </row>
  </sheetData>
  <mergeCells count="11">
    <mergeCell ref="A1:H1"/>
    <mergeCell ref="A5:B5"/>
    <mergeCell ref="C5:D5"/>
    <mergeCell ref="E5:F5"/>
    <mergeCell ref="G5:H5"/>
    <mergeCell ref="A6:B6"/>
    <mergeCell ref="C6:D6"/>
    <mergeCell ref="E6:F6"/>
    <mergeCell ref="G6:H6"/>
    <mergeCell ref="A9:D9"/>
    <mergeCell ref="F9:H9"/>
  </mergeCells>
  <dataValidations count="1">
    <dataValidation allowBlank="false" errorStyle="stop" operator="between" showDropDown="false" showErrorMessage="false" showInputMessage="false" sqref="B3" type="list">
      <formula1>SETTINGS!$I$4:$I$15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37" t="s">
        <v>89</v>
      </c>
      <c r="B1" s="37"/>
      <c r="C1" s="37"/>
      <c r="D1" s="37"/>
    </row>
    <row r="3" customFormat="false" ht="15" hidden="false" customHeight="false" outlineLevel="0" collapsed="false">
      <c r="A3" s="18" t="s">
        <v>90</v>
      </c>
    </row>
    <row r="4" customFormat="false" ht="45" hidden="false" customHeight="true" outlineLevel="0" collapsed="false">
      <c r="A4" s="38" t="s">
        <v>91</v>
      </c>
      <c r="B4" s="38"/>
      <c r="C4" s="38"/>
      <c r="D4" s="38"/>
    </row>
    <row r="6" customFormat="false" ht="15" hidden="false" customHeight="false" outlineLevel="0" collapsed="false">
      <c r="A6" s="18" t="s">
        <v>92</v>
      </c>
    </row>
    <row r="7" customFormat="false" ht="45" hidden="false" customHeight="true" outlineLevel="0" collapsed="false">
      <c r="A7" s="38" t="s">
        <v>93</v>
      </c>
      <c r="B7" s="38"/>
      <c r="C7" s="38"/>
      <c r="D7" s="38"/>
    </row>
    <row r="9" customFormat="false" ht="15" hidden="false" customHeight="false" outlineLevel="0" collapsed="false">
      <c r="A9" s="18" t="s">
        <v>94</v>
      </c>
    </row>
    <row r="10" customFormat="false" ht="45" hidden="false" customHeight="true" outlineLevel="0" collapsed="false">
      <c r="A10" s="38" t="s">
        <v>95</v>
      </c>
      <c r="B10" s="38"/>
      <c r="C10" s="38"/>
      <c r="D10" s="38"/>
    </row>
    <row r="12" customFormat="false" ht="15" hidden="false" customHeight="false" outlineLevel="0" collapsed="false">
      <c r="A12" s="18" t="s">
        <v>96</v>
      </c>
    </row>
    <row r="13" customFormat="false" ht="45" hidden="false" customHeight="true" outlineLevel="0" collapsed="false">
      <c r="A13" s="38" t="s">
        <v>97</v>
      </c>
      <c r="B13" s="38"/>
      <c r="C13" s="38"/>
      <c r="D13" s="38"/>
    </row>
    <row r="15" customFormat="false" ht="15" hidden="false" customHeight="false" outlineLevel="0" collapsed="false">
      <c r="A15" s="18" t="s">
        <v>98</v>
      </c>
    </row>
    <row r="16" customFormat="false" ht="45" hidden="false" customHeight="true" outlineLevel="0" collapsed="false">
      <c r="A16" s="38" t="s">
        <v>99</v>
      </c>
      <c r="B16" s="38"/>
      <c r="C16" s="38"/>
      <c r="D16" s="38"/>
    </row>
    <row r="18" customFormat="false" ht="15" hidden="false" customHeight="false" outlineLevel="0" collapsed="false">
      <c r="A18" s="18" t="s">
        <v>100</v>
      </c>
    </row>
    <row r="19" customFormat="false" ht="45" hidden="false" customHeight="true" outlineLevel="0" collapsed="false">
      <c r="A19" s="38" t="s">
        <v>101</v>
      </c>
      <c r="B19" s="38"/>
      <c r="C19" s="38"/>
      <c r="D19" s="38"/>
    </row>
    <row r="21" customFormat="false" ht="15" hidden="false" customHeight="false" outlineLevel="0" collapsed="false">
      <c r="A21" s="39" t="s">
        <v>102</v>
      </c>
    </row>
    <row r="22" customFormat="false" ht="45" hidden="false" customHeight="true" outlineLevel="0" collapsed="false">
      <c r="A22" s="38" t="s">
        <v>103</v>
      </c>
      <c r="B22" s="38"/>
      <c r="C22" s="38"/>
      <c r="D22" s="38"/>
    </row>
  </sheetData>
  <mergeCells count="8">
    <mergeCell ref="A1:D1"/>
    <mergeCell ref="A4:D4"/>
    <mergeCell ref="A7:D7"/>
    <mergeCell ref="A10:D10"/>
    <mergeCell ref="A13:D13"/>
    <mergeCell ref="A16:D16"/>
    <mergeCell ref="A19:D19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2026-07-23T08:43:06Z</dcterms:created>
  <dc:creator>openpyxl</dc:creator>
  <dc:description/>
  <dc:language>en-US</dc:language>
  <cp:lastModifiedBy/>
  <dcterms:modified xsi:type="dcterms:W3CDTF">2026-07-23T08:43:16Z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