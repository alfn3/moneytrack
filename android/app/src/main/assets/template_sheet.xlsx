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LAPORAN" sheetId="1" state="visible" r:id="rId1"/>
    <sheet name="BUDGETING TAHUNAN" sheetId="2" state="visible" r:id="rId2"/>
    <sheet name="CATATAN PENGELUARAN" sheetId="3" state="visible" r:id="rId3"/>
    <sheet name="RINGKASAN BUDGETING" sheetId="4" state="visible" r:id="rId4"/>
    <sheet name="TRACKER ASET" sheetId="5" state="visible" r:id="rId5"/>
    <sheet name="SETTINGS" sheetId="6" state="visible" r:id="rId6"/>
    <sheet name="PANDUA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Rp ]#,##0"/>
    <numFmt numFmtId="165" formatCode="&quot;Rp&quot;#,##0;[RED]&quot;(Rp&quot;#,##0\);\-"/>
    <numFmt numFmtId="166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color rgb="FF1A1B20"/>
      <sz val="10"/>
    </font>
    <font>
      <name val="Calibri"/>
      <color rgb="FF1A1B20"/>
      <sz val="11"/>
    </font>
    <font>
      <name val="Calibri"/>
      <b val="1"/>
      <color rgb="FF1A1B20"/>
      <sz val="11"/>
    </font>
    <font>
      <name val="Calibri"/>
      <b val="1"/>
      <color rgb="FF1A1B20"/>
      <sz val="18"/>
    </font>
    <font>
      <name val="Calibri"/>
      <b val="1"/>
      <color rgb="FFFFFFFF"/>
      <sz val="11"/>
    </font>
    <font>
      <name val="Calibri"/>
      <color rgb="FF1A1B20"/>
      <sz val="10"/>
    </font>
    <font>
      <name val="Calibri"/>
      <color rgb="FF1A1B20"/>
      <sz val="9"/>
    </font>
    <font>
      <name val="Calibri"/>
      <b val="1"/>
      <color rgb="FF1A1B20"/>
      <sz val="12"/>
    </font>
  </fonts>
  <fills count="11">
    <fill>
      <patternFill/>
    </fill>
    <fill>
      <patternFill patternType="gray125"/>
    </fill>
    <fill>
      <patternFill patternType="solid">
        <fgColor rgb="FF4E5B91"/>
        <bgColor rgb="FF4E5B91"/>
      </patternFill>
    </fill>
    <fill>
      <patternFill patternType="solid">
        <fgColor rgb="FFFAF8FF"/>
        <bgColor rgb="FFFAF8FF"/>
      </patternFill>
    </fill>
    <fill>
      <patternFill patternType="solid">
        <fgColor rgb="FFDEE1F9"/>
        <bgColor rgb="FFDEE1F9"/>
      </patternFill>
    </fill>
    <fill>
      <patternFill patternType="solid">
        <fgColor rgb="FFEEECF3"/>
        <bgColor rgb="FFEEECF3"/>
      </patternFill>
    </fill>
    <fill>
      <patternFill patternType="solid">
        <fgColor rgb="FFFFFFFF"/>
        <bgColor rgb="FFFFFFFF"/>
      </patternFill>
    </fill>
    <fill>
      <patternFill patternType="solid">
        <fgColor rgb="FF4E5B92"/>
        <bgColor rgb="FF4E5B92"/>
      </patternFill>
    </fill>
    <fill>
      <patternFill patternType="solid">
        <fgColor rgb="FFE9E7EE"/>
        <bgColor rgb="FFE9E7EE"/>
      </patternFill>
    </fill>
    <fill>
      <patternFill patternType="solid">
        <fgColor rgb="FFFAF7FF"/>
        <bgColor rgb="FFFAF7FF"/>
      </patternFill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bottom"/>
    </xf>
    <xf numFmtId="164" fontId="2" fillId="3" borderId="0" applyAlignment="1" pivotButton="0" quotePrefix="0" xfId="0">
      <alignment horizontal="center" vertical="bottom"/>
    </xf>
    <xf numFmtId="0" fontId="3" fillId="3" borderId="0" applyAlignment="1" pivotButton="0" quotePrefix="0" xfId="0">
      <alignment vertical="bottom"/>
    </xf>
    <xf numFmtId="0" fontId="4" fillId="4" borderId="0" applyAlignment="1" pivotButton="0" quotePrefix="0" xfId="0">
      <alignment horizontal="center" vertical="center"/>
    </xf>
    <xf numFmtId="164" fontId="5" fillId="3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5" borderId="0" applyAlignment="1" pivotButton="0" quotePrefix="0" xfId="0">
      <alignment vertical="bottom"/>
    </xf>
    <xf numFmtId="164" fontId="7" fillId="5" borderId="0" applyAlignment="1" pivotButton="0" quotePrefix="0" xfId="0">
      <alignment horizontal="center" vertical="bottom"/>
    </xf>
    <xf numFmtId="0" fontId="7" fillId="3" borderId="0" applyAlignment="1" pivotButton="0" quotePrefix="0" xfId="0">
      <alignment horizontal="center" vertical="bottom"/>
    </xf>
    <xf numFmtId="164" fontId="7" fillId="3" borderId="0" applyAlignment="1" pivotButton="0" quotePrefix="0" xfId="0">
      <alignment horizontal="center" vertical="bottom"/>
    </xf>
    <xf numFmtId="0" fontId="7" fillId="6" borderId="0" applyAlignment="1" pivotButton="0" quotePrefix="0" xfId="0">
      <alignment vertical="bottom"/>
    </xf>
    <xf numFmtId="164" fontId="7" fillId="6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0" fontId="8" fillId="8" borderId="0" applyAlignment="1" pivotButton="0" quotePrefix="0" xfId="0">
      <alignment vertical="bottom"/>
    </xf>
    <xf numFmtId="0" fontId="4" fillId="6" borderId="0" applyAlignment="1" pivotButton="0" quotePrefix="0" xfId="0">
      <alignment horizontal="center" vertical="center"/>
    </xf>
    <xf numFmtId="164" fontId="4" fillId="6" borderId="0" applyAlignment="1" pivotButton="0" quotePrefix="0" xfId="0">
      <alignment horizontal="center" vertical="center"/>
    </xf>
    <xf numFmtId="0" fontId="7" fillId="8" borderId="0" applyAlignment="1" pivotButton="0" quotePrefix="0" xfId="0">
      <alignment vertical="bottom"/>
    </xf>
    <xf numFmtId="164" fontId="7" fillId="8" borderId="0" applyAlignment="1" pivotButton="0" quotePrefix="0" xfId="0">
      <alignment horizontal="center" vertical="bottom"/>
    </xf>
    <xf numFmtId="0" fontId="2" fillId="6" borderId="0" applyAlignment="1" pivotButton="0" quotePrefix="0" xfId="0">
      <alignment vertical="bottom"/>
    </xf>
    <xf numFmtId="164" fontId="2" fillId="6" borderId="0" applyAlignment="1" pivotButton="0" quotePrefix="0" xfId="0">
      <alignment horizontal="center" vertical="bottom"/>
    </xf>
    <xf numFmtId="0" fontId="2" fillId="8" borderId="0" applyAlignment="1" pivotButton="0" quotePrefix="0" xfId="0">
      <alignment vertical="bottom"/>
    </xf>
    <xf numFmtId="164" fontId="2" fillId="8" borderId="0" applyAlignment="1" pivotButton="0" quotePrefix="0" xfId="0">
      <alignment horizontal="center" vertical="bottom"/>
    </xf>
    <xf numFmtId="0" fontId="8" fillId="9" borderId="0" applyAlignment="1" pivotButton="0" quotePrefix="0" xfId="0">
      <alignment vertical="bottom"/>
    </xf>
    <xf numFmtId="0" fontId="6" fillId="7" borderId="0" applyAlignment="1" pivotButton="0" quotePrefix="0" xfId="0">
      <alignment horizontal="center" vertical="center"/>
    </xf>
    <xf numFmtId="165" fontId="3" fillId="10" borderId="0" applyAlignment="1" pivotButton="0" quotePrefix="0" xfId="0">
      <alignment vertical="bottom"/>
    </xf>
    <xf numFmtId="0" fontId="3" fillId="10" borderId="0" applyAlignment="1" pivotButton="0" quotePrefix="0" xfId="0">
      <alignment vertical="bottom"/>
    </xf>
    <xf numFmtId="0" fontId="9" fillId="9" borderId="0" applyAlignment="1" pivotButton="0" quotePrefix="0" xfId="0">
      <alignment vertical="bottom"/>
    </xf>
    <xf numFmtId="0" fontId="2" fillId="9" borderId="0" applyAlignment="1" pivotButton="0" quotePrefix="0" xfId="0">
      <alignment vertical="bottom"/>
    </xf>
    <xf numFmtId="164" fontId="2" fillId="9" borderId="0" applyAlignment="1" pivotButton="0" quotePrefix="0" xfId="0">
      <alignment horizontal="center" vertical="bottom"/>
    </xf>
    <xf numFmtId="164" fontId="6" fillId="7" borderId="0" applyAlignment="1" pivotButton="0" quotePrefix="0" xfId="0">
      <alignment horizontal="center" vertical="center"/>
    </xf>
    <xf numFmtId="0" fontId="7" fillId="10" borderId="0" applyAlignment="1" pivotButton="0" quotePrefix="0" xfId="0">
      <alignment vertical="bottom"/>
    </xf>
    <xf numFmtId="164" fontId="7" fillId="10" borderId="0" applyAlignment="1" pivotButton="0" quotePrefix="0" xfId="0">
      <alignment horizontal="center" vertical="bottom"/>
    </xf>
    <xf numFmtId="166" fontId="7" fillId="10" borderId="0" applyAlignment="1" pivotButton="0" quotePrefix="0" xfId="0">
      <alignment horizontal="center" vertical="bottom"/>
    </xf>
    <xf numFmtId="0" fontId="2" fillId="10" borderId="0" applyAlignment="1" pivotButton="0" quotePrefix="0" xfId="0">
      <alignment vertical="bottom"/>
    </xf>
    <xf numFmtId="164" fontId="2" fillId="10" borderId="0" applyAlignment="1" pivotButton="0" quotePrefix="0" xfId="0">
      <alignment horizontal="center" vertical="bottom"/>
    </xf>
    <xf numFmtId="166" fontId="2" fillId="10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center" vertical="center"/>
    </xf>
    <xf numFmtId="164" fontId="4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bottom"/>
    </xf>
    <xf numFmtId="166" fontId="3" fillId="10" borderId="0" applyAlignment="1" pivotButton="0" quotePrefix="0" xfId="0">
      <alignment horizontal="center" vertical="bottom"/>
    </xf>
    <xf numFmtId="0" fontId="3" fillId="9" borderId="0" applyAlignment="1" pivotButton="0" quotePrefix="0" xfId="0">
      <alignment vertical="bottom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7.29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8.710000000000001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 ht="27" customHeight="1">
      <c r="A1" s="1" t="inlineStr">
        <is>
          <t>DASHBOARD LAPORAN KEUANGAN PRIBADI</t>
        </is>
      </c>
    </row>
    <row r="3">
      <c r="A3" s="2" t="inlineStr">
        <is>
          <t>Pilih Bulan:</t>
        </is>
      </c>
      <c r="B3" s="3" t="inlineStr">
        <is>
          <t>Jan</t>
        </is>
      </c>
      <c r="C3" s="4">
        <f t="array" ref="C3">INDEX(SETTINGS!$J$4:$J$15,MATCH($B$3,SETTINGS!$I$4:$I$15,0))</f>
        <v/>
      </c>
    </row>
    <row r="5">
      <c r="A5" s="5" t="inlineStr">
        <is>
          <t>PEMASUKAN</t>
        </is>
      </c>
      <c r="C5" s="5" t="inlineStr">
        <is>
          <t>PENGELUARAN</t>
        </is>
      </c>
      <c r="E5" s="5" t="inlineStr">
        <is>
          <t>TABUNGAN</t>
        </is>
      </c>
      <c r="G5" s="5" t="inlineStr">
        <is>
          <t>SISA BUDGET</t>
        </is>
      </c>
    </row>
    <row r="6" ht="45" customHeight="1">
      <c r="A6" s="6">
        <f>SUMIFS('CATATAN PENGELUARAN'!$F$4:$F$153,'CATATAN PENGELUARAN'!$H$4:$H$153,$C$3,'CATATAN PENGELUARAN'!$B$4:$B$153,"Pemasukan")</f>
        <v/>
      </c>
      <c r="C6" s="6">
        <f>SUMIFS('CATATAN PENGELUARAN'!$F$4:$F$153,'CATATAN PENGELUARAN'!$H$4:$H$153,$C$3,'CATATAN PENGELUARAN'!$B$4:$B$153,"Pengeluaran")</f>
        <v/>
      </c>
      <c r="E6" s="6">
        <f>A6-C6</f>
        <v/>
      </c>
      <c r="G6" s="6">
        <f t="array" ref="G6">IFERROR(INDEX('BUDGETING TAHUNAN'!$B$15:$M$15,1,MATCH($B$3,'BUDGETING TAHUNAN'!$B$3:$M$3,0)),0)-C6</f>
        <v/>
      </c>
    </row>
    <row r="9">
      <c r="A9" s="7" t="inlineStr">
        <is>
          <t>PENGELUARAN PER KATEGORI (BULAN TERPILIH)</t>
        </is>
      </c>
      <c r="F9" s="7" t="inlineStr">
        <is>
          <t>TREND BULANAN (SETAHUN)</t>
        </is>
      </c>
    </row>
    <row r="10">
      <c r="A10" s="7" t="inlineStr">
        <is>
          <t>Kategori</t>
        </is>
      </c>
      <c r="C10" s="7" t="inlineStr">
        <is>
          <t>Realisasi</t>
        </is>
      </c>
      <c r="F10" s="7" t="inlineStr">
        <is>
          <t>Bulan</t>
        </is>
      </c>
      <c r="G10" s="7" t="inlineStr">
        <is>
          <t>Pemasukan</t>
        </is>
      </c>
      <c r="H10" s="7" t="inlineStr">
        <is>
          <t>Pengeluaran</t>
        </is>
      </c>
    </row>
    <row r="11">
      <c r="A11" s="8" t="inlineStr">
        <is>
          <t>Kebutuhan Pokok</t>
        </is>
      </c>
      <c r="C11" s="9">
        <f>'RINGKASAN BUDGETING'!C6</f>
        <v/>
      </c>
      <c r="F11" s="10" t="inlineStr">
        <is>
          <t>Jan</t>
        </is>
      </c>
      <c r="G11" s="11">
        <f>SUMIFS('CATATAN PENGELUARAN'!$F$4:$F$153,'CATATAN PENGELUARAN'!$H$4:$H$153,1,'CATATAN PENGELUARAN'!$B$4:$B$153,"Pemasukan")</f>
        <v/>
      </c>
      <c r="H11" s="11">
        <f>SUMIFS('CATATAN PENGELUARAN'!$F$4:$F$153,'CATATAN PENGELUARAN'!$H$4:$H$153,1,'CATATAN PENGELUARAN'!$B$4:$B$153,"Pengeluaran")</f>
        <v/>
      </c>
    </row>
    <row r="12">
      <c r="A12" s="12" t="inlineStr">
        <is>
          <t>Makanan &amp; Minuman</t>
        </is>
      </c>
      <c r="C12" s="13">
        <f>'RINGKASAN BUDGETING'!C7</f>
        <v/>
      </c>
      <c r="F12" s="10" t="inlineStr">
        <is>
          <t>Feb</t>
        </is>
      </c>
      <c r="G12" s="11">
        <f>SUMIFS('CATATAN PENGELUARAN'!$F$4:$F$153,'CATATAN PENGELUARAN'!$H$4:$H$153,2,'CATATAN PENGELUARAN'!$B$4:$B$153,"Pemasukan")</f>
        <v/>
      </c>
      <c r="H12" s="11">
        <f>SUMIFS('CATATAN PENGELUARAN'!$F$4:$F$153,'CATATAN PENGELUARAN'!$H$4:$H$153,2,'CATATAN PENGELUARAN'!$B$4:$B$153,"Pengeluaran")</f>
        <v/>
      </c>
    </row>
    <row r="13">
      <c r="A13" s="8" t="inlineStr">
        <is>
          <t>Transportasi</t>
        </is>
      </c>
      <c r="C13" s="9">
        <f>'RINGKASAN BUDGETING'!C8</f>
        <v/>
      </c>
      <c r="F13" s="10" t="inlineStr">
        <is>
          <t>Mar</t>
        </is>
      </c>
      <c r="G13" s="11">
        <f>SUMIFS('CATATAN PENGELUARAN'!$F$4:$F$153,'CATATAN PENGELUARAN'!$H$4:$H$153,3,'CATATAN PENGELUARAN'!$B$4:$B$153,"Pemasukan")</f>
        <v/>
      </c>
      <c r="H13" s="11">
        <f>SUMIFS('CATATAN PENGELUARAN'!$F$4:$F$153,'CATATAN PENGELUARAN'!$H$4:$H$153,3,'CATATAN PENGELUARAN'!$B$4:$B$153,"Pengeluaran")</f>
        <v/>
      </c>
    </row>
    <row r="14">
      <c r="A14" s="12" t="inlineStr">
        <is>
          <t>Kesehatan</t>
        </is>
      </c>
      <c r="C14" s="13">
        <f>'RINGKASAN BUDGETING'!C9</f>
        <v/>
      </c>
      <c r="F14" s="10" t="inlineStr">
        <is>
          <t>Apr</t>
        </is>
      </c>
      <c r="G14" s="11">
        <f>SUMIFS('CATATAN PENGELUARAN'!$F$4:$F$153,'CATATAN PENGELUARAN'!$H$4:$H$153,4,'CATATAN PENGELUARAN'!$B$4:$B$153,"Pemasukan")</f>
        <v/>
      </c>
      <c r="H14" s="11">
        <f>SUMIFS('CATATAN PENGELUARAN'!$F$4:$F$153,'CATATAN PENGELUARAN'!$H$4:$H$153,4,'CATATAN PENGELUARAN'!$B$4:$B$153,"Pengeluaran")</f>
        <v/>
      </c>
    </row>
    <row r="15">
      <c r="A15" s="8" t="inlineStr">
        <is>
          <t>Hiburan</t>
        </is>
      </c>
      <c r="C15" s="9">
        <f>'RINGKASAN BUDGETING'!C10</f>
        <v/>
      </c>
      <c r="F15" s="10" t="inlineStr">
        <is>
          <t>Mei</t>
        </is>
      </c>
      <c r="G15" s="11">
        <f>SUMIFS('CATATAN PENGELUARAN'!$F$4:$F$153,'CATATAN PENGELUARAN'!$H$4:$H$153,5,'CATATAN PENGELUARAN'!$B$4:$B$153,"Pemasukan")</f>
        <v/>
      </c>
      <c r="H15" s="11">
        <f>SUMIFS('CATATAN PENGELUARAN'!$F$4:$F$153,'CATATAN PENGELUARAN'!$H$4:$H$153,5,'CATATAN PENGELUARAN'!$B$4:$B$153,"Pengeluaran")</f>
        <v/>
      </c>
    </row>
    <row r="16">
      <c r="A16" s="12" t="inlineStr">
        <is>
          <t>Pendidikan</t>
        </is>
      </c>
      <c r="C16" s="13">
        <f>'RINGKASAN BUDGETING'!C11</f>
        <v/>
      </c>
      <c r="F16" s="10" t="inlineStr">
        <is>
          <t>Jun</t>
        </is>
      </c>
      <c r="G16" s="11">
        <f>SUMIFS('CATATAN PENGELUARAN'!$F$4:$F$153,'CATATAN PENGELUARAN'!$H$4:$H$153,6,'CATATAN PENGELUARAN'!$B$4:$B$153,"Pemasukan")</f>
        <v/>
      </c>
      <c r="H16" s="11">
        <f>SUMIFS('CATATAN PENGELUARAN'!$F$4:$F$153,'CATATAN PENGELUARAN'!$H$4:$H$153,6,'CATATAN PENGELUARAN'!$B$4:$B$153,"Pengeluaran")</f>
        <v/>
      </c>
    </row>
    <row r="17">
      <c r="A17" s="8" t="inlineStr">
        <is>
          <t>Utilitas &amp; Listrik</t>
        </is>
      </c>
      <c r="C17" s="9">
        <f>'RINGKASAN BUDGETING'!C12</f>
        <v/>
      </c>
      <c r="F17" s="10" t="inlineStr">
        <is>
          <t>Jul</t>
        </is>
      </c>
      <c r="G17" s="11">
        <f>SUMIFS('CATATAN PENGELUARAN'!$F$4:$F$153,'CATATAN PENGELUARAN'!$H$4:$H$153,7,'CATATAN PENGELUARAN'!$B$4:$B$153,"Pemasukan")</f>
        <v/>
      </c>
      <c r="H17" s="11">
        <f>SUMIFS('CATATAN PENGELUARAN'!$F$4:$F$153,'CATATAN PENGELUARAN'!$H$4:$H$153,7,'CATATAN PENGELUARAN'!$B$4:$B$153,"Pengeluaran")</f>
        <v/>
      </c>
    </row>
    <row r="18">
      <c r="A18" s="12" t="inlineStr">
        <is>
          <t>Cicilan</t>
        </is>
      </c>
      <c r="C18" s="13">
        <f>'RINGKASAN BUDGETING'!C13</f>
        <v/>
      </c>
      <c r="F18" s="10" t="inlineStr">
        <is>
          <t>Agu</t>
        </is>
      </c>
      <c r="G18" s="11">
        <f>SUMIFS('CATATAN PENGELUARAN'!$F$4:$F$153,'CATATAN PENGELUARAN'!$H$4:$H$153,8,'CATATAN PENGELUARAN'!$B$4:$B$153,"Pemasukan")</f>
        <v/>
      </c>
      <c r="H18" s="11">
        <f>SUMIFS('CATATAN PENGELUARAN'!$F$4:$F$153,'CATATAN PENGELUARAN'!$H$4:$H$153,8,'CATATAN PENGELUARAN'!$B$4:$B$153,"Pengeluaran")</f>
        <v/>
      </c>
    </row>
    <row r="19">
      <c r="A19" s="8" t="inlineStr">
        <is>
          <t>Belanja Pribadi</t>
        </is>
      </c>
      <c r="C19" s="9">
        <f>'RINGKASAN BUDGETING'!C14</f>
        <v/>
      </c>
      <c r="F19" s="10" t="inlineStr">
        <is>
          <t>Sep</t>
        </is>
      </c>
      <c r="G19" s="11">
        <f>SUMIFS('CATATAN PENGELUARAN'!$F$4:$F$153,'CATATAN PENGELUARAN'!$H$4:$H$153,9,'CATATAN PENGELUARAN'!$B$4:$B$153,"Pemasukan")</f>
        <v/>
      </c>
      <c r="H19" s="11">
        <f>SUMIFS('CATATAN PENGELUARAN'!$F$4:$F$153,'CATATAN PENGELUARAN'!$H$4:$H$153,9,'CATATAN PENGELUARAN'!$B$4:$B$153,"Pengeluaran")</f>
        <v/>
      </c>
    </row>
    <row r="20">
      <c r="A20" s="12" t="inlineStr">
        <is>
          <t>Sosial &amp; Amal</t>
        </is>
      </c>
      <c r="C20" s="13">
        <f>'RINGKASAN BUDGETING'!C15</f>
        <v/>
      </c>
      <c r="F20" s="10" t="inlineStr">
        <is>
          <t>Okt</t>
        </is>
      </c>
      <c r="G20" s="11">
        <f>SUMIFS('CATATAN PENGELUARAN'!$F$4:$F$153,'CATATAN PENGELUARAN'!$H$4:$H$153,10,'CATATAN PENGELUARAN'!$B$4:$B$153,"Pemasukan")</f>
        <v/>
      </c>
      <c r="H20" s="11">
        <f>SUMIFS('CATATAN PENGELUARAN'!$F$4:$F$153,'CATATAN PENGELUARAN'!$H$4:$H$153,10,'CATATAN PENGELUARAN'!$B$4:$B$153,"Pengeluaran")</f>
        <v/>
      </c>
    </row>
    <row r="21" ht="15.75" customHeight="1">
      <c r="A21" s="8" t="inlineStr">
        <is>
          <t>Lainnya</t>
        </is>
      </c>
      <c r="C21" s="9">
        <f>'RINGKASAN BUDGETING'!C16</f>
        <v/>
      </c>
      <c r="F21" s="10" t="inlineStr">
        <is>
          <t>Nov</t>
        </is>
      </c>
      <c r="G21" s="11">
        <f>SUMIFS('CATATAN PENGELUARAN'!$F$4:$F$153,'CATATAN PENGELUARAN'!$H$4:$H$153,11,'CATATAN PENGELUARAN'!$B$4:$B$153,"Pemasukan")</f>
        <v/>
      </c>
      <c r="H21" s="11">
        <f>SUMIFS('CATATAN PENGELUARAN'!$F$4:$F$153,'CATATAN PENGELUARAN'!$H$4:$H$153,11,'CATATAN PENGELUARAN'!$B$4:$B$153,"Pengeluaran")</f>
        <v/>
      </c>
    </row>
    <row r="22" ht="15.75" customHeight="1">
      <c r="F22" s="10" t="inlineStr">
        <is>
          <t>Des</t>
        </is>
      </c>
      <c r="G22" s="11">
        <f>SUMIFS('CATATAN PENGELUARAN'!$F$4:$F$153,'CATATAN PENGELUARAN'!$H$4:$H$153,12,'CATATAN PENGELUARAN'!$B$4:$B$153,"Pemasukan")</f>
        <v/>
      </c>
      <c r="H22" s="11">
        <f>SUMIFS('CATATAN PENGELUARAN'!$F$4:$F$153,'CATATAN PENGELUARAN'!$H$4:$H$153,12,'CATATAN PENGELUARAN'!$B$4:$B$153,"Pengeluaran")</f>
        <v/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5">
    <mergeCell ref="C6:D6"/>
    <mergeCell ref="A15:B15"/>
    <mergeCell ref="C15:D15"/>
    <mergeCell ref="A11:B11"/>
    <mergeCell ref="C5:D5"/>
    <mergeCell ref="E5:F5"/>
    <mergeCell ref="C14:D14"/>
    <mergeCell ref="A1:H1"/>
    <mergeCell ref="A6:B6"/>
    <mergeCell ref="C20:D20"/>
    <mergeCell ref="A9:D9"/>
    <mergeCell ref="A16:B16"/>
    <mergeCell ref="C10:D10"/>
    <mergeCell ref="C16:D16"/>
    <mergeCell ref="G6:H6"/>
    <mergeCell ref="F9:H9"/>
    <mergeCell ref="A18:B18"/>
    <mergeCell ref="A12:B12"/>
    <mergeCell ref="C12:D12"/>
    <mergeCell ref="A21:B21"/>
    <mergeCell ref="E6:F6"/>
    <mergeCell ref="C21:D21"/>
    <mergeCell ref="C11:D11"/>
    <mergeCell ref="A5:B5"/>
    <mergeCell ref="G5:H5"/>
    <mergeCell ref="A14:B14"/>
    <mergeCell ref="A17:B17"/>
    <mergeCell ref="C17:D17"/>
    <mergeCell ref="A20:B20"/>
    <mergeCell ref="A19:B19"/>
    <mergeCell ref="A10:B10"/>
    <mergeCell ref="C19:D19"/>
    <mergeCell ref="A13:B13"/>
    <mergeCell ref="C13:D13"/>
    <mergeCell ref="C18:D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31" customWidth="1" min="1" max="1"/>
    <col width="18.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8.710000000000001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14" t="inlineStr">
        <is>
          <t>RENCANA BUDGETING TAHUNAN</t>
        </is>
      </c>
    </row>
    <row r="2">
      <c r="A2" s="15" t="inlineStr">
        <is>
          <t>Isi rencana anggaran per kategori untuk tiap bulan. Angka ini digunakan sebagai patokan budget di sheet Ringkasan.</t>
        </is>
      </c>
    </row>
    <row r="3">
      <c r="A3" s="16" t="inlineStr">
        <is>
          <t>Kategori</t>
        </is>
      </c>
      <c r="B3" s="17" t="inlineStr">
        <is>
          <t>Jan</t>
        </is>
      </c>
      <c r="C3" s="17" t="inlineStr">
        <is>
          <t>Feb</t>
        </is>
      </c>
      <c r="D3" s="17" t="inlineStr">
        <is>
          <t>Mar</t>
        </is>
      </c>
      <c r="E3" s="17" t="inlineStr">
        <is>
          <t>Apr</t>
        </is>
      </c>
      <c r="F3" s="17" t="inlineStr">
        <is>
          <t>Mei</t>
        </is>
      </c>
      <c r="G3" s="17" t="inlineStr">
        <is>
          <t>Jun</t>
        </is>
      </c>
      <c r="H3" s="17" t="inlineStr">
        <is>
          <t>Jul</t>
        </is>
      </c>
      <c r="I3" s="17" t="inlineStr">
        <is>
          <t>Agu</t>
        </is>
      </c>
      <c r="J3" s="17" t="inlineStr">
        <is>
          <t>Sep</t>
        </is>
      </c>
      <c r="K3" s="17" t="inlineStr">
        <is>
          <t>Okt</t>
        </is>
      </c>
      <c r="L3" s="17" t="inlineStr">
        <is>
          <t>Nov</t>
        </is>
      </c>
      <c r="M3" s="17" t="inlineStr">
        <is>
          <t>Des</t>
        </is>
      </c>
    </row>
    <row r="4">
      <c r="A4" s="18" t="inlineStr">
        <is>
          <t>Kebutuhan Pokok</t>
        </is>
      </c>
      <c r="B4" s="19" t="n">
        <v>0</v>
      </c>
      <c r="C4" s="19" t="n">
        <v>0</v>
      </c>
      <c r="D4" s="19" t="n">
        <v>0</v>
      </c>
      <c r="E4" s="19" t="n">
        <v>0</v>
      </c>
      <c r="F4" s="19" t="n">
        <v>0</v>
      </c>
      <c r="G4" s="19" t="n">
        <v>0</v>
      </c>
      <c r="H4" s="19" t="n">
        <v>0</v>
      </c>
      <c r="I4" s="19" t="n">
        <v>0</v>
      </c>
      <c r="J4" s="19" t="n">
        <v>0</v>
      </c>
      <c r="K4" s="19" t="n">
        <v>0</v>
      </c>
      <c r="L4" s="19" t="n">
        <v>0</v>
      </c>
      <c r="M4" s="19" t="n">
        <v>0</v>
      </c>
    </row>
    <row r="5">
      <c r="A5" s="12" t="inlineStr">
        <is>
          <t>Makanan &amp; Minuman</t>
        </is>
      </c>
      <c r="B5" s="13" t="n">
        <v>0</v>
      </c>
      <c r="C5" s="13" t="n">
        <v>0</v>
      </c>
      <c r="D5" s="13" t="n">
        <v>0</v>
      </c>
      <c r="E5" s="13" t="n">
        <v>0</v>
      </c>
      <c r="F5" s="13" t="n">
        <v>0</v>
      </c>
      <c r="G5" s="13" t="n">
        <v>0</v>
      </c>
      <c r="H5" s="13" t="n">
        <v>0</v>
      </c>
      <c r="I5" s="13" t="n">
        <v>0</v>
      </c>
      <c r="J5" s="13" t="n">
        <v>0</v>
      </c>
      <c r="K5" s="13" t="n">
        <v>0</v>
      </c>
      <c r="L5" s="13" t="n">
        <v>0</v>
      </c>
      <c r="M5" s="13" t="n">
        <v>0</v>
      </c>
    </row>
    <row r="6">
      <c r="A6" s="18" t="inlineStr">
        <is>
          <t>Transportasi</t>
        </is>
      </c>
      <c r="B6" s="19" t="n">
        <v>0</v>
      </c>
      <c r="C6" s="19" t="n">
        <v>0</v>
      </c>
      <c r="D6" s="19" t="n">
        <v>0</v>
      </c>
      <c r="E6" s="19" t="n">
        <v>0</v>
      </c>
      <c r="F6" s="19" t="n">
        <v>0</v>
      </c>
      <c r="G6" s="19" t="n">
        <v>0</v>
      </c>
      <c r="H6" s="19" t="n">
        <v>0</v>
      </c>
      <c r="I6" s="19" t="n">
        <v>0</v>
      </c>
      <c r="J6" s="19" t="n">
        <v>0</v>
      </c>
      <c r="K6" s="19" t="n">
        <v>0</v>
      </c>
      <c r="L6" s="19" t="n">
        <v>0</v>
      </c>
      <c r="M6" s="19" t="n">
        <v>0</v>
      </c>
    </row>
    <row r="7">
      <c r="A7" s="12" t="inlineStr">
        <is>
          <t>Kesehatan</t>
        </is>
      </c>
      <c r="B7" s="13" t="n">
        <v>0</v>
      </c>
      <c r="C7" s="13" t="n">
        <v>0</v>
      </c>
      <c r="D7" s="13" t="n">
        <v>0</v>
      </c>
      <c r="E7" s="13" t="n">
        <v>0</v>
      </c>
      <c r="F7" s="13" t="n">
        <v>0</v>
      </c>
      <c r="G7" s="13" t="n">
        <v>0</v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3" t="n">
        <v>0</v>
      </c>
    </row>
    <row r="8">
      <c r="A8" s="18" t="inlineStr">
        <is>
          <t>Hiburan</t>
        </is>
      </c>
      <c r="B8" s="19" t="n">
        <v>0</v>
      </c>
      <c r="C8" s="19" t="n">
        <v>0</v>
      </c>
      <c r="D8" s="19" t="n">
        <v>0</v>
      </c>
      <c r="E8" s="19" t="n">
        <v>0</v>
      </c>
      <c r="F8" s="19" t="n">
        <v>0</v>
      </c>
      <c r="G8" s="19" t="n">
        <v>0</v>
      </c>
      <c r="H8" s="19" t="n">
        <v>0</v>
      </c>
      <c r="I8" s="19" t="n">
        <v>0</v>
      </c>
      <c r="J8" s="19" t="n">
        <v>0</v>
      </c>
      <c r="K8" s="19" t="n">
        <v>0</v>
      </c>
      <c r="L8" s="19" t="n">
        <v>0</v>
      </c>
      <c r="M8" s="19" t="n">
        <v>0</v>
      </c>
    </row>
    <row r="9">
      <c r="A9" s="12" t="inlineStr">
        <is>
          <t>Pendidikan</t>
        </is>
      </c>
      <c r="B9" s="13" t="n">
        <v>0</v>
      </c>
      <c r="C9" s="13" t="n">
        <v>0</v>
      </c>
      <c r="D9" s="13" t="n">
        <v>0</v>
      </c>
      <c r="E9" s="13" t="n">
        <v>0</v>
      </c>
      <c r="F9" s="13" t="n">
        <v>0</v>
      </c>
      <c r="G9" s="13" t="n">
        <v>0</v>
      </c>
      <c r="H9" s="13" t="n">
        <v>0</v>
      </c>
      <c r="I9" s="13" t="n">
        <v>0</v>
      </c>
      <c r="J9" s="13" t="n">
        <v>0</v>
      </c>
      <c r="K9" s="13" t="n">
        <v>0</v>
      </c>
      <c r="L9" s="13" t="n">
        <v>0</v>
      </c>
      <c r="M9" s="13" t="n">
        <v>0</v>
      </c>
    </row>
    <row r="10">
      <c r="A10" s="18" t="inlineStr">
        <is>
          <t>Utilitas &amp; Listrik</t>
        </is>
      </c>
      <c r="B10" s="19" t="n">
        <v>0</v>
      </c>
      <c r="C10" s="19" t="n">
        <v>0</v>
      </c>
      <c r="D10" s="19" t="n">
        <v>0</v>
      </c>
      <c r="E10" s="19" t="n">
        <v>0</v>
      </c>
      <c r="F10" s="19" t="n">
        <v>0</v>
      </c>
      <c r="G10" s="19" t="n">
        <v>0</v>
      </c>
      <c r="H10" s="19" t="n">
        <v>0</v>
      </c>
      <c r="I10" s="19" t="n">
        <v>0</v>
      </c>
      <c r="J10" s="19" t="n">
        <v>0</v>
      </c>
      <c r="K10" s="19" t="n">
        <v>0</v>
      </c>
      <c r="L10" s="19" t="n">
        <v>0</v>
      </c>
      <c r="M10" s="19" t="n">
        <v>0</v>
      </c>
    </row>
    <row r="11">
      <c r="A11" s="12" t="inlineStr">
        <is>
          <t>Cicilan</t>
        </is>
      </c>
      <c r="B11" s="13" t="n">
        <v>0</v>
      </c>
      <c r="C11" s="13" t="n">
        <v>0</v>
      </c>
      <c r="D11" s="13" t="n">
        <v>0</v>
      </c>
      <c r="E11" s="13" t="n">
        <v>0</v>
      </c>
      <c r="F11" s="13" t="n">
        <v>0</v>
      </c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0</v>
      </c>
      <c r="L11" s="13" t="n">
        <v>0</v>
      </c>
      <c r="M11" s="13" t="n">
        <v>0</v>
      </c>
    </row>
    <row r="12">
      <c r="A12" s="18" t="inlineStr">
        <is>
          <t>Belanja Pribadi</t>
        </is>
      </c>
      <c r="B12" s="19" t="n">
        <v>0</v>
      </c>
      <c r="C12" s="19" t="n">
        <v>0</v>
      </c>
      <c r="D12" s="19" t="n">
        <v>0</v>
      </c>
      <c r="E12" s="19" t="n">
        <v>0</v>
      </c>
      <c r="F12" s="19" t="n">
        <v>0</v>
      </c>
      <c r="G12" s="19" t="n">
        <v>0</v>
      </c>
      <c r="H12" s="19" t="n">
        <v>0</v>
      </c>
      <c r="I12" s="19" t="n">
        <v>0</v>
      </c>
      <c r="J12" s="19" t="n">
        <v>0</v>
      </c>
      <c r="K12" s="19" t="n">
        <v>0</v>
      </c>
      <c r="L12" s="19" t="n">
        <v>0</v>
      </c>
      <c r="M12" s="19" t="n">
        <v>0</v>
      </c>
    </row>
    <row r="13">
      <c r="A13" s="12" t="inlineStr">
        <is>
          <t>Sosial &amp; Amal</t>
        </is>
      </c>
      <c r="B13" s="13" t="n">
        <v>0</v>
      </c>
      <c r="C13" s="13" t="n">
        <v>0</v>
      </c>
      <c r="D13" s="13" t="n">
        <v>0</v>
      </c>
      <c r="E13" s="13" t="n">
        <v>0</v>
      </c>
      <c r="F13" s="13" t="n">
        <v>0</v>
      </c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</row>
    <row r="14">
      <c r="A14" s="18" t="inlineStr">
        <is>
          <t>Lainnya</t>
        </is>
      </c>
      <c r="B14" s="19" t="n">
        <v>0</v>
      </c>
      <c r="C14" s="19" t="n">
        <v>0</v>
      </c>
      <c r="D14" s="19" t="n">
        <v>0</v>
      </c>
      <c r="E14" s="19" t="n">
        <v>0</v>
      </c>
      <c r="F14" s="19" t="n">
        <v>0</v>
      </c>
      <c r="G14" s="19" t="n">
        <v>0</v>
      </c>
      <c r="H14" s="19" t="n">
        <v>0</v>
      </c>
      <c r="I14" s="19" t="n">
        <v>0</v>
      </c>
      <c r="J14" s="19" t="n">
        <v>0</v>
      </c>
      <c r="K14" s="19" t="n">
        <v>0</v>
      </c>
      <c r="L14" s="19" t="n">
        <v>0</v>
      </c>
      <c r="M14" s="19" t="n">
        <v>0</v>
      </c>
    </row>
    <row r="15">
      <c r="A15" s="20" t="inlineStr">
        <is>
          <t>TOTAL PENGELUARAN</t>
        </is>
      </c>
      <c r="B15" s="21">
        <f>SUM(B4:B14)</f>
        <v/>
      </c>
      <c r="C15" s="21">
        <f>SUM(C4:C14)</f>
        <v/>
      </c>
      <c r="D15" s="21">
        <f>SUM(D4:D14)</f>
        <v/>
      </c>
      <c r="E15" s="21">
        <f>SUM(E4:E14)</f>
        <v/>
      </c>
      <c r="F15" s="21">
        <f>SUM(F4:F14)</f>
        <v/>
      </c>
      <c r="G15" s="21">
        <f>SUM(G4:G14)</f>
        <v/>
      </c>
      <c r="H15" s="21">
        <f>SUM(H4:H14)</f>
        <v/>
      </c>
      <c r="I15" s="21">
        <f>SUM(I4:I14)</f>
        <v/>
      </c>
      <c r="J15" s="21">
        <f>SUM(J4:J14)</f>
        <v/>
      </c>
      <c r="K15" s="21">
        <f>SUM(K4:K14)</f>
        <v/>
      </c>
      <c r="L15" s="21">
        <f>SUM(L4:L14)</f>
        <v/>
      </c>
      <c r="M15" s="21">
        <f>SUM(M4:M14)</f>
        <v/>
      </c>
    </row>
    <row r="16">
      <c r="A16" s="22" t="inlineStr">
        <is>
          <t>TARGET TABUNGAN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0</v>
      </c>
    </row>
    <row r="17">
      <c r="A17" s="20" t="inlineStr">
        <is>
          <t>RENCANA PEMASUKAN</t>
        </is>
      </c>
      <c r="B17" s="21" t="n">
        <v>0</v>
      </c>
      <c r="C17" s="21" t="n">
        <v>0</v>
      </c>
      <c r="D17" s="21" t="n">
        <v>0</v>
      </c>
      <c r="E17" s="21" t="n">
        <v>0</v>
      </c>
      <c r="F17" s="21" t="n">
        <v>0</v>
      </c>
      <c r="G17" s="21" t="n">
        <v>0</v>
      </c>
      <c r="H17" s="21" t="n">
        <v>0</v>
      </c>
      <c r="I17" s="21" t="n">
        <v>0</v>
      </c>
      <c r="J17" s="21" t="n">
        <v>0</v>
      </c>
      <c r="K17" s="21" t="n">
        <v>0</v>
      </c>
      <c r="L17" s="21" t="n">
        <v>0</v>
      </c>
      <c r="M17" s="21" t="n"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3"/>
  <sheetViews>
    <sheetView workbookViewId="0">
      <selection activeCell="A1" sqref="A1"/>
    </sheetView>
  </sheetViews>
  <sheetFormatPr baseColWidth="8" defaultRowHeight="15"/>
  <cols>
    <col width="17.14" customWidth="1" min="1" max="1"/>
    <col width="14.86" customWidth="1" min="2" max="2"/>
    <col width="14" customWidth="1" min="3" max="3"/>
    <col width="16.14" customWidth="1" min="4" max="4"/>
    <col width="11.71" customWidth="1" min="5" max="5"/>
    <col width="11.14" customWidth="1" min="6" max="6"/>
    <col width="21.43" customWidth="1" min="7" max="7"/>
    <col width="8" customWidth="1" min="8" max="8"/>
    <col width="8.710000000000001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14" t="inlineStr">
        <is>
          <t>CATATAN TRANSAKSI (PEMASUKAN &amp; PENGELUARAN)</t>
        </is>
      </c>
    </row>
    <row r="2">
      <c r="A2" s="24" t="inlineStr">
        <is>
          <t>Kolom H (Bulan) otomatis, jangan diedit. Kategori harus sesuai daftar di SETTINGS. Isi dari baris 4.</t>
        </is>
      </c>
    </row>
    <row r="3">
      <c r="A3" s="25" t="inlineStr">
        <is>
          <t>Tanggal</t>
        </is>
      </c>
      <c r="B3" s="25" t="inlineStr">
        <is>
          <t>Tipe</t>
        </is>
      </c>
      <c r="C3" s="25" t="inlineStr">
        <is>
          <t>Kategori</t>
        </is>
      </c>
      <c r="D3" s="25" t="inlineStr">
        <is>
          <t>Keterangan</t>
        </is>
      </c>
      <c r="E3" s="25" t="inlineStr">
        <is>
          <t>Akun</t>
        </is>
      </c>
      <c r="F3" s="25" t="inlineStr">
        <is>
          <t>Jumlah</t>
        </is>
      </c>
      <c r="G3" s="25" t="inlineStr">
        <is>
          <t>Saldo Berjalan</t>
        </is>
      </c>
      <c r="H3" s="25" t="inlineStr">
        <is>
          <t>Bulan</t>
        </is>
      </c>
    </row>
    <row r="4">
      <c r="G4" s="26">
        <f>IF(A4="","",N(G3)+IF(B4="Pemasukan",F4,-F4))</f>
        <v/>
      </c>
      <c r="H4" s="27">
        <f>IF(A4="","",MONTH(A4))</f>
        <v/>
      </c>
    </row>
    <row r="5">
      <c r="G5" s="26">
        <f>IF(A5="","",N(G4)+IF(B5="Pemasukan",F5,-F5))</f>
        <v/>
      </c>
      <c r="H5" s="27">
        <f>IF(A5="","",MONTH(A5))</f>
        <v/>
      </c>
    </row>
    <row r="6">
      <c r="G6" s="26">
        <f>IF(A6="","",N(G5)+IF(B6="Pemasukan",F6,-F6))</f>
        <v/>
      </c>
      <c r="H6" s="27">
        <f>IF(A6="","",MONTH(A6))</f>
        <v/>
      </c>
    </row>
    <row r="7">
      <c r="G7" s="26">
        <f>IF(A7="","",N(G6)+IF(B7="Pemasukan",F7,-F7))</f>
        <v/>
      </c>
      <c r="H7" s="27">
        <f>IF(A7="","",MONTH(A7))</f>
        <v/>
      </c>
    </row>
    <row r="8">
      <c r="G8" s="26">
        <f>IF(A8="","",N(G7)+IF(B8="Pemasukan",F8,-F8))</f>
        <v/>
      </c>
      <c r="H8" s="27">
        <f>IF(A8="","",MONTH(A8))</f>
        <v/>
      </c>
    </row>
    <row r="9">
      <c r="G9" s="26">
        <f>IF(A9="","",N(G8)+IF(B9="Pemasukan",F9,-F9))</f>
        <v/>
      </c>
      <c r="H9" s="27">
        <f>IF(A9="","",MONTH(A9))</f>
        <v/>
      </c>
    </row>
    <row r="10">
      <c r="G10" s="26">
        <f>IF(A10="","",N(G9)+IF(B10="Pemasukan",F10,-F10))</f>
        <v/>
      </c>
      <c r="H10" s="27">
        <f>IF(A10="","",MONTH(A10))</f>
        <v/>
      </c>
    </row>
    <row r="11">
      <c r="G11" s="26">
        <f>IF(A11="","",N(G10)+IF(B11="Pemasukan",F11,-F11))</f>
        <v/>
      </c>
      <c r="H11" s="27">
        <f>IF(A11="","",MONTH(A11))</f>
        <v/>
      </c>
    </row>
    <row r="12">
      <c r="G12" s="26">
        <f>IF(A12="","",N(G11)+IF(B12="Pemasukan",F12,-F12))</f>
        <v/>
      </c>
      <c r="H12" s="27">
        <f>IF(A12="","",MONTH(A12))</f>
        <v/>
      </c>
    </row>
    <row r="13">
      <c r="G13" s="26">
        <f>IF(A13="","",N(G12)+IF(B13="Pemasukan",F13,-F13))</f>
        <v/>
      </c>
      <c r="H13" s="27">
        <f>IF(A13="","",MONTH(A13))</f>
        <v/>
      </c>
    </row>
    <row r="14">
      <c r="G14" s="26">
        <f>IF(A14="","",N(G13)+IF(B14="Pemasukan",F14,-F14))</f>
        <v/>
      </c>
      <c r="H14" s="27">
        <f>IF(A14="","",MONTH(A14))</f>
        <v/>
      </c>
    </row>
    <row r="15">
      <c r="G15" s="26">
        <f>IF(A15="","",N(G14)+IF(B15="Pemasukan",F15,-F15))</f>
        <v/>
      </c>
      <c r="H15" s="27">
        <f>IF(A15="","",MONTH(A15))</f>
        <v/>
      </c>
    </row>
    <row r="16">
      <c r="G16" s="26">
        <f>IF(A16="","",N(G15)+IF(B16="Pemasukan",F16,-F16))</f>
        <v/>
      </c>
      <c r="H16" s="27">
        <f>IF(A16="","",MONTH(A16))</f>
        <v/>
      </c>
    </row>
    <row r="17">
      <c r="G17" s="26">
        <f>IF(A17="","",N(G16)+IF(B17="Pemasukan",F17,-F17))</f>
        <v/>
      </c>
      <c r="H17" s="27">
        <f>IF(A17="","",MONTH(A17))</f>
        <v/>
      </c>
    </row>
    <row r="18">
      <c r="G18" s="26">
        <f>IF(A18="","",N(G17)+IF(B18="Pemasukan",F18,-F18))</f>
        <v/>
      </c>
      <c r="H18" s="27">
        <f>IF(A18="","",MONTH(A18))</f>
        <v/>
      </c>
    </row>
    <row r="19">
      <c r="G19" s="26">
        <f>IF(A19="","",N(G18)+IF(B19="Pemasukan",F19,-F19))</f>
        <v/>
      </c>
      <c r="H19" s="27">
        <f>IF(A19="","",MONTH(A19))</f>
        <v/>
      </c>
    </row>
    <row r="20">
      <c r="G20" s="26">
        <f>IF(A20="","",N(G19)+IF(B20="Pemasukan",F20,-F20))</f>
        <v/>
      </c>
      <c r="H20" s="27">
        <f>IF(A20="","",MONTH(A20))</f>
        <v/>
      </c>
    </row>
    <row r="21" ht="15.75" customHeight="1">
      <c r="G21" s="26">
        <f>IF(A21="","",N(G20)+IF(B21="Pemasukan",F21,-F21))</f>
        <v/>
      </c>
      <c r="H21" s="27">
        <f>IF(A21="","",MONTH(A21))</f>
        <v/>
      </c>
    </row>
    <row r="22" ht="15.75" customHeight="1">
      <c r="G22" s="26">
        <f>IF(A22="","",N(G21)+IF(B22="Pemasukan",F22,-F22))</f>
        <v/>
      </c>
      <c r="H22" s="27">
        <f>IF(A22="","",MONTH(A22))</f>
        <v/>
      </c>
    </row>
    <row r="23" ht="15.75" customHeight="1">
      <c r="G23" s="26">
        <f>IF(A23="","",N(G22)+IF(B23="Pemasukan",F23,-F23))</f>
        <v/>
      </c>
      <c r="H23" s="27">
        <f>IF(A23="","",MONTH(A23))</f>
        <v/>
      </c>
    </row>
    <row r="24" ht="15.75" customHeight="1">
      <c r="G24" s="26">
        <f>IF(A24="","",N(G23)+IF(B24="Pemasukan",F24,-F24))</f>
        <v/>
      </c>
      <c r="H24" s="27">
        <f>IF(A24="","",MONTH(A24))</f>
        <v/>
      </c>
    </row>
    <row r="25" ht="15.75" customHeight="1">
      <c r="G25" s="26">
        <f>IF(A25="","",N(G24)+IF(B25="Pemasukan",F25,-F25))</f>
        <v/>
      </c>
      <c r="H25" s="27">
        <f>IF(A25="","",MONTH(A25))</f>
        <v/>
      </c>
    </row>
    <row r="26" ht="15.75" customHeight="1">
      <c r="G26" s="26">
        <f>IF(A26="","",N(G25)+IF(B26="Pemasukan",F26,-F26))</f>
        <v/>
      </c>
      <c r="H26" s="27">
        <f>IF(A26="","",MONTH(A26))</f>
        <v/>
      </c>
    </row>
    <row r="27" ht="15.75" customHeight="1">
      <c r="G27" s="26">
        <f>IF(A27="","",N(G26)+IF(B27="Pemasukan",F27,-F27))</f>
        <v/>
      </c>
      <c r="H27" s="27">
        <f>IF(A27="","",MONTH(A27))</f>
        <v/>
      </c>
    </row>
    <row r="28" ht="15.75" customHeight="1">
      <c r="G28" s="26">
        <f>IF(A28="","",N(G27)+IF(B28="Pemasukan",F28,-F28))</f>
        <v/>
      </c>
      <c r="H28" s="27">
        <f>IF(A28="","",MONTH(A28))</f>
        <v/>
      </c>
    </row>
    <row r="29" ht="15.75" customHeight="1">
      <c r="G29" s="26">
        <f>IF(A29="","",N(G28)+IF(B29="Pemasukan",F29,-F29))</f>
        <v/>
      </c>
      <c r="H29" s="27">
        <f>IF(A29="","",MONTH(A29))</f>
        <v/>
      </c>
    </row>
    <row r="30" ht="15.75" customHeight="1">
      <c r="G30" s="26">
        <f>IF(A30="","",N(G29)+IF(B30="Pemasukan",F30,-F30))</f>
        <v/>
      </c>
      <c r="H30" s="27">
        <f>IF(A30="","",MONTH(A30))</f>
        <v/>
      </c>
    </row>
    <row r="31" ht="15.75" customHeight="1">
      <c r="G31" s="26">
        <f>IF(A31="","",N(G30)+IF(B31="Pemasukan",F31,-F31))</f>
        <v/>
      </c>
      <c r="H31" s="27">
        <f>IF(A31="","",MONTH(A31))</f>
        <v/>
      </c>
    </row>
    <row r="32" ht="15.75" customHeight="1">
      <c r="G32" s="26">
        <f>IF(A32="","",N(G31)+IF(B32="Pemasukan",F32,-F32))</f>
        <v/>
      </c>
      <c r="H32" s="27">
        <f>IF(A32="","",MONTH(A32))</f>
        <v/>
      </c>
    </row>
    <row r="33" ht="15.75" customHeight="1">
      <c r="G33" s="26">
        <f>IF(A33="","",N(G32)+IF(B33="Pemasukan",F33,-F33))</f>
        <v/>
      </c>
      <c r="H33" s="27">
        <f>IF(A33="","",MONTH(A33))</f>
        <v/>
      </c>
    </row>
    <row r="34" ht="15.75" customHeight="1">
      <c r="G34" s="26">
        <f>IF(A34="","",N(G33)+IF(B34="Pemasukan",F34,-F34))</f>
        <v/>
      </c>
      <c r="H34" s="27">
        <f>IF(A34="","",MONTH(A34))</f>
        <v/>
      </c>
    </row>
    <row r="35" ht="15.75" customHeight="1">
      <c r="G35" s="26">
        <f>IF(A35="","",N(G34)+IF(B35="Pemasukan",F35,-F35))</f>
        <v/>
      </c>
      <c r="H35" s="27">
        <f>IF(A35="","",MONTH(A35))</f>
        <v/>
      </c>
    </row>
    <row r="36" ht="15.75" customHeight="1">
      <c r="G36" s="26">
        <f>IF(A36="","",N(G35)+IF(B36="Pemasukan",F36,-F36))</f>
        <v/>
      </c>
      <c r="H36" s="27">
        <f>IF(A36="","",MONTH(A36))</f>
        <v/>
      </c>
    </row>
    <row r="37" ht="15.75" customHeight="1">
      <c r="G37" s="26">
        <f>IF(A37="","",N(G36)+IF(B37="Pemasukan",F37,-F37))</f>
        <v/>
      </c>
      <c r="H37" s="27">
        <f>IF(A37="","",MONTH(A37))</f>
        <v/>
      </c>
    </row>
    <row r="38" ht="15.75" customHeight="1">
      <c r="G38" s="26">
        <f>IF(A38="","",N(G37)+IF(B38="Pemasukan",F38,-F38))</f>
        <v/>
      </c>
      <c r="H38" s="27">
        <f>IF(A38="","",MONTH(A38))</f>
        <v/>
      </c>
    </row>
    <row r="39" ht="15.75" customHeight="1">
      <c r="G39" s="26">
        <f>IF(A39="","",N(G38)+IF(B39="Pemasukan",F39,-F39))</f>
        <v/>
      </c>
      <c r="H39" s="27">
        <f>IF(A39="","",MONTH(A39))</f>
        <v/>
      </c>
    </row>
    <row r="40" ht="15.75" customHeight="1">
      <c r="G40" s="26">
        <f>IF(A40="","",N(G39)+IF(B40="Pemasukan",F40,-F40))</f>
        <v/>
      </c>
      <c r="H40" s="27">
        <f>IF(A40="","",MONTH(A40))</f>
        <v/>
      </c>
    </row>
    <row r="41" ht="15.75" customHeight="1">
      <c r="G41" s="26">
        <f>IF(A41="","",N(G40)+IF(B41="Pemasukan",F41,-F41))</f>
        <v/>
      </c>
      <c r="H41" s="27">
        <f>IF(A41="","",MONTH(A41))</f>
        <v/>
      </c>
    </row>
    <row r="42" ht="15.75" customHeight="1">
      <c r="G42" s="26">
        <f>IF(A42="","",N(G41)+IF(B42="Pemasukan",F42,-F42))</f>
        <v/>
      </c>
      <c r="H42" s="27">
        <f>IF(A42="","",MONTH(A42))</f>
        <v/>
      </c>
    </row>
    <row r="43" ht="15.75" customHeight="1">
      <c r="G43" s="26">
        <f>IF(A43="","",N(G42)+IF(B43="Pemasukan",F43,-F43))</f>
        <v/>
      </c>
      <c r="H43" s="27">
        <f>IF(A43="","",MONTH(A43))</f>
        <v/>
      </c>
    </row>
    <row r="44" ht="15.75" customHeight="1">
      <c r="G44" s="26">
        <f>IF(A44="","",N(G43)+IF(B44="Pemasukan",F44,-F44))</f>
        <v/>
      </c>
      <c r="H44" s="27">
        <f>IF(A44="","",MONTH(A44))</f>
        <v/>
      </c>
    </row>
    <row r="45" ht="15.75" customHeight="1">
      <c r="G45" s="26">
        <f>IF(A45="","",N(G44)+IF(B45="Pemasukan",F45,-F45))</f>
        <v/>
      </c>
      <c r="H45" s="27">
        <f>IF(A45="","",MONTH(A45))</f>
        <v/>
      </c>
    </row>
    <row r="46" ht="15.75" customHeight="1">
      <c r="G46" s="26">
        <f>IF(A46="","",N(G45)+IF(B46="Pemasukan",F46,-F46))</f>
        <v/>
      </c>
      <c r="H46" s="27">
        <f>IF(A46="","",MONTH(A46))</f>
        <v/>
      </c>
    </row>
    <row r="47" ht="15.75" customHeight="1">
      <c r="G47" s="26">
        <f>IF(A47="","",N(G46)+IF(B47="Pemasukan",F47,-F47))</f>
        <v/>
      </c>
      <c r="H47" s="27">
        <f>IF(A47="","",MONTH(A47))</f>
        <v/>
      </c>
    </row>
    <row r="48" ht="15.75" customHeight="1">
      <c r="G48" s="26">
        <f>IF(A48="","",N(G47)+IF(B48="Pemasukan",F48,-F48))</f>
        <v/>
      </c>
      <c r="H48" s="27">
        <f>IF(A48="","",MONTH(A48))</f>
        <v/>
      </c>
    </row>
    <row r="49" ht="15.75" customHeight="1">
      <c r="G49" s="26">
        <f>IF(A49="","",N(G48)+IF(B49="Pemasukan",F49,-F49))</f>
        <v/>
      </c>
      <c r="H49" s="27">
        <f>IF(A49="","",MONTH(A49))</f>
        <v/>
      </c>
    </row>
    <row r="50" ht="15.75" customHeight="1">
      <c r="G50" s="26">
        <f>IF(A50="","",N(G49)+IF(B50="Pemasukan",F50,-F50))</f>
        <v/>
      </c>
      <c r="H50" s="27">
        <f>IF(A50="","",MONTH(A50))</f>
        <v/>
      </c>
    </row>
    <row r="51" ht="15.75" customHeight="1">
      <c r="G51" s="26">
        <f>IF(A51="","",N(G50)+IF(B51="Pemasukan",F51,-F51))</f>
        <v/>
      </c>
      <c r="H51" s="27">
        <f>IF(A51="","",MONTH(A51))</f>
        <v/>
      </c>
    </row>
    <row r="52" ht="15.75" customHeight="1">
      <c r="G52" s="26">
        <f>IF(A52="","",N(G51)+IF(B52="Pemasukan",F52,-F52))</f>
        <v/>
      </c>
      <c r="H52" s="27">
        <f>IF(A52="","",MONTH(A52))</f>
        <v/>
      </c>
    </row>
    <row r="53" ht="15.75" customHeight="1">
      <c r="G53" s="26">
        <f>IF(A53="","",N(G52)+IF(B53="Pemasukan",F53,-F53))</f>
        <v/>
      </c>
      <c r="H53" s="27">
        <f>IF(A53="","",MONTH(A53))</f>
        <v/>
      </c>
    </row>
    <row r="54" ht="15.75" customHeight="1">
      <c r="G54" s="26">
        <f>IF(A54="","",N(G53)+IF(B54="Pemasukan",F54,-F54))</f>
        <v/>
      </c>
      <c r="H54" s="27">
        <f>IF(A54="","",MONTH(A54))</f>
        <v/>
      </c>
    </row>
    <row r="55" ht="15.75" customHeight="1">
      <c r="G55" s="26">
        <f>IF(A55="","",N(G54)+IF(B55="Pemasukan",F55,-F55))</f>
        <v/>
      </c>
      <c r="H55" s="27">
        <f>IF(A55="","",MONTH(A55))</f>
        <v/>
      </c>
    </row>
    <row r="56" ht="15.75" customHeight="1">
      <c r="G56" s="26">
        <f>IF(A56="","",N(G55)+IF(B56="Pemasukan",F56,-F56))</f>
        <v/>
      </c>
      <c r="H56" s="27">
        <f>IF(A56="","",MONTH(A56))</f>
        <v/>
      </c>
    </row>
    <row r="57" ht="15.75" customHeight="1">
      <c r="G57" s="26">
        <f>IF(A57="","",N(G56)+IF(B57="Pemasukan",F57,-F57))</f>
        <v/>
      </c>
      <c r="H57" s="27">
        <f>IF(A57="","",MONTH(A57))</f>
        <v/>
      </c>
    </row>
    <row r="58" ht="15.75" customHeight="1">
      <c r="G58" s="26">
        <f>IF(A58="","",N(G57)+IF(B58="Pemasukan",F58,-F58))</f>
        <v/>
      </c>
      <c r="H58" s="27">
        <f>IF(A58="","",MONTH(A58))</f>
        <v/>
      </c>
    </row>
    <row r="59" ht="15.75" customHeight="1">
      <c r="G59" s="26">
        <f>IF(A59="","",N(G58)+IF(B59="Pemasukan",F59,-F59))</f>
        <v/>
      </c>
      <c r="H59" s="27">
        <f>IF(A59="","",MONTH(A59))</f>
        <v/>
      </c>
    </row>
    <row r="60" ht="15.75" customHeight="1">
      <c r="G60" s="26">
        <f>IF(A60="","",N(G59)+IF(B60="Pemasukan",F60,-F60))</f>
        <v/>
      </c>
      <c r="H60" s="27">
        <f>IF(A60="","",MONTH(A60))</f>
        <v/>
      </c>
    </row>
    <row r="61" ht="15.75" customHeight="1">
      <c r="G61" s="26">
        <f>IF(A61="","",N(G60)+IF(B61="Pemasukan",F61,-F61))</f>
        <v/>
      </c>
      <c r="H61" s="27">
        <f>IF(A61="","",MONTH(A61))</f>
        <v/>
      </c>
    </row>
    <row r="62" ht="15.75" customHeight="1">
      <c r="G62" s="26">
        <f>IF(A62="","",N(G61)+IF(B62="Pemasukan",F62,-F62))</f>
        <v/>
      </c>
      <c r="H62" s="27">
        <f>IF(A62="","",MONTH(A62))</f>
        <v/>
      </c>
    </row>
    <row r="63" ht="15.75" customHeight="1">
      <c r="G63" s="26">
        <f>IF(A63="","",N(G62)+IF(B63="Pemasukan",F63,-F63))</f>
        <v/>
      </c>
      <c r="H63" s="27">
        <f>IF(A63="","",MONTH(A63))</f>
        <v/>
      </c>
    </row>
    <row r="64" ht="15.75" customHeight="1">
      <c r="G64" s="26">
        <f>IF(A64="","",N(G63)+IF(B64="Pemasukan",F64,-F64))</f>
        <v/>
      </c>
      <c r="H64" s="27">
        <f>IF(A64="","",MONTH(A64))</f>
        <v/>
      </c>
    </row>
    <row r="65" ht="15.75" customHeight="1">
      <c r="G65" s="26">
        <f>IF(A65="","",N(G64)+IF(B65="Pemasukan",F65,-F65))</f>
        <v/>
      </c>
      <c r="H65" s="27">
        <f>IF(A65="","",MONTH(A65))</f>
        <v/>
      </c>
    </row>
    <row r="66" ht="15.75" customHeight="1">
      <c r="G66" s="26">
        <f>IF(A66="","",N(G65)+IF(B66="Pemasukan",F66,-F66))</f>
        <v/>
      </c>
      <c r="H66" s="27">
        <f>IF(A66="","",MONTH(A66))</f>
        <v/>
      </c>
    </row>
    <row r="67" ht="15.75" customHeight="1">
      <c r="G67" s="26">
        <f>IF(A67="","",N(G66)+IF(B67="Pemasukan",F67,-F67))</f>
        <v/>
      </c>
      <c r="H67" s="27">
        <f>IF(A67="","",MONTH(A67))</f>
        <v/>
      </c>
    </row>
    <row r="68" ht="15.75" customHeight="1">
      <c r="G68" s="26">
        <f>IF(A68="","",N(G67)+IF(B68="Pemasukan",F68,-F68))</f>
        <v/>
      </c>
      <c r="H68" s="27">
        <f>IF(A68="","",MONTH(A68))</f>
        <v/>
      </c>
    </row>
    <row r="69" ht="15.75" customHeight="1">
      <c r="G69" s="26">
        <f>IF(A69="","",N(G68)+IF(B69="Pemasukan",F69,-F69))</f>
        <v/>
      </c>
      <c r="H69" s="27">
        <f>IF(A69="","",MONTH(A69))</f>
        <v/>
      </c>
    </row>
    <row r="70" ht="15.75" customHeight="1">
      <c r="G70" s="26">
        <f>IF(A70="","",N(G69)+IF(B70="Pemasukan",F70,-F70))</f>
        <v/>
      </c>
      <c r="H70" s="27">
        <f>IF(A70="","",MONTH(A70))</f>
        <v/>
      </c>
    </row>
    <row r="71" ht="15.75" customHeight="1">
      <c r="G71" s="26">
        <f>IF(A71="","",N(G70)+IF(B71="Pemasukan",F71,-F71))</f>
        <v/>
      </c>
      <c r="H71" s="27">
        <f>IF(A71="","",MONTH(A71))</f>
        <v/>
      </c>
    </row>
    <row r="72" ht="15.75" customHeight="1">
      <c r="G72" s="26">
        <f>IF(A72="","",N(G71)+IF(B72="Pemasukan",F72,-F72))</f>
        <v/>
      </c>
      <c r="H72" s="27">
        <f>IF(A72="","",MONTH(A72))</f>
        <v/>
      </c>
    </row>
    <row r="73" ht="15.75" customHeight="1">
      <c r="G73" s="26">
        <f>IF(A73="","",N(G72)+IF(B73="Pemasukan",F73,-F73))</f>
        <v/>
      </c>
      <c r="H73" s="27">
        <f>IF(A73="","",MONTH(A73))</f>
        <v/>
      </c>
    </row>
    <row r="74" ht="15.75" customHeight="1">
      <c r="G74" s="26">
        <f>IF(A74="","",N(G73)+IF(B74="Pemasukan",F74,-F74))</f>
        <v/>
      </c>
      <c r="H74" s="27">
        <f>IF(A74="","",MONTH(A74))</f>
        <v/>
      </c>
    </row>
    <row r="75" ht="15.75" customHeight="1">
      <c r="G75" s="26">
        <f>IF(A75="","",N(G74)+IF(B75="Pemasukan",F75,-F75))</f>
        <v/>
      </c>
      <c r="H75" s="27">
        <f>IF(A75="","",MONTH(A75))</f>
        <v/>
      </c>
    </row>
    <row r="76" ht="15.75" customHeight="1">
      <c r="G76" s="26">
        <f>IF(A76="","",N(G75)+IF(B76="Pemasukan",F76,-F76))</f>
        <v/>
      </c>
      <c r="H76" s="27">
        <f>IF(A76="","",MONTH(A76))</f>
        <v/>
      </c>
    </row>
    <row r="77" ht="15.75" customHeight="1">
      <c r="G77" s="26">
        <f>IF(A77="","",N(G76)+IF(B77="Pemasukan",F77,-F77))</f>
        <v/>
      </c>
      <c r="H77" s="27">
        <f>IF(A77="","",MONTH(A77))</f>
        <v/>
      </c>
    </row>
    <row r="78" ht="15.75" customHeight="1">
      <c r="G78" s="26">
        <f>IF(A78="","",N(G77)+IF(B78="Pemasukan",F78,-F78))</f>
        <v/>
      </c>
      <c r="H78" s="27">
        <f>IF(A78="","",MONTH(A78))</f>
        <v/>
      </c>
    </row>
    <row r="79" ht="15.75" customHeight="1">
      <c r="G79" s="26">
        <f>IF(A79="","",N(G78)+IF(B79="Pemasukan",F79,-F79))</f>
        <v/>
      </c>
      <c r="H79" s="27">
        <f>IF(A79="","",MONTH(A79))</f>
        <v/>
      </c>
    </row>
    <row r="80" ht="15.75" customHeight="1">
      <c r="G80" s="26">
        <f>IF(A80="","",N(G79)+IF(B80="Pemasukan",F80,-F80))</f>
        <v/>
      </c>
      <c r="H80" s="27">
        <f>IF(A80="","",MONTH(A80))</f>
        <v/>
      </c>
    </row>
    <row r="81" ht="15.75" customHeight="1">
      <c r="G81" s="26">
        <f>IF(A81="","",N(G80)+IF(B81="Pemasukan",F81,-F81))</f>
        <v/>
      </c>
      <c r="H81" s="27">
        <f>IF(A81="","",MONTH(A81))</f>
        <v/>
      </c>
    </row>
    <row r="82" ht="15.75" customHeight="1">
      <c r="G82" s="26">
        <f>IF(A82="","",N(G81)+IF(B82="Pemasukan",F82,-F82))</f>
        <v/>
      </c>
      <c r="H82" s="27">
        <f>IF(A82="","",MONTH(A82))</f>
        <v/>
      </c>
    </row>
    <row r="83" ht="15.75" customHeight="1">
      <c r="G83" s="26">
        <f>IF(A83="","",N(G82)+IF(B83="Pemasukan",F83,-F83))</f>
        <v/>
      </c>
      <c r="H83" s="27">
        <f>IF(A83="","",MONTH(A83))</f>
        <v/>
      </c>
    </row>
    <row r="84" ht="15.75" customHeight="1">
      <c r="G84" s="26">
        <f>IF(A84="","",N(G83)+IF(B84="Pemasukan",F84,-F84))</f>
        <v/>
      </c>
      <c r="H84" s="27">
        <f>IF(A84="","",MONTH(A84))</f>
        <v/>
      </c>
    </row>
    <row r="85" ht="15.75" customHeight="1">
      <c r="G85" s="26">
        <f>IF(A85="","",N(G84)+IF(B85="Pemasukan",F85,-F85))</f>
        <v/>
      </c>
      <c r="H85" s="27">
        <f>IF(A85="","",MONTH(A85))</f>
        <v/>
      </c>
    </row>
    <row r="86" ht="15.75" customHeight="1">
      <c r="G86" s="26">
        <f>IF(A86="","",N(G85)+IF(B86="Pemasukan",F86,-F86))</f>
        <v/>
      </c>
      <c r="H86" s="27">
        <f>IF(A86="","",MONTH(A86))</f>
        <v/>
      </c>
    </row>
    <row r="87" ht="15.75" customHeight="1">
      <c r="G87" s="26">
        <f>IF(A87="","",N(G86)+IF(B87="Pemasukan",F87,-F87))</f>
        <v/>
      </c>
      <c r="H87" s="27">
        <f>IF(A87="","",MONTH(A87))</f>
        <v/>
      </c>
    </row>
    <row r="88" ht="15.75" customHeight="1">
      <c r="G88" s="26">
        <f>IF(A88="","",N(G87)+IF(B88="Pemasukan",F88,-F88))</f>
        <v/>
      </c>
      <c r="H88" s="27">
        <f>IF(A88="","",MONTH(A88))</f>
        <v/>
      </c>
    </row>
    <row r="89" ht="15.75" customHeight="1">
      <c r="G89" s="26">
        <f>IF(A89="","",N(G88)+IF(B89="Pemasukan",F89,-F89))</f>
        <v/>
      </c>
      <c r="H89" s="27">
        <f>IF(A89="","",MONTH(A89))</f>
        <v/>
      </c>
    </row>
    <row r="90" ht="15.75" customHeight="1">
      <c r="G90" s="26">
        <f>IF(A90="","",N(G89)+IF(B90="Pemasukan",F90,-F90))</f>
        <v/>
      </c>
      <c r="H90" s="27">
        <f>IF(A90="","",MONTH(A90))</f>
        <v/>
      </c>
    </row>
    <row r="91" ht="15.75" customHeight="1">
      <c r="G91" s="26">
        <f>IF(A91="","",N(G90)+IF(B91="Pemasukan",F91,-F91))</f>
        <v/>
      </c>
      <c r="H91" s="27">
        <f>IF(A91="","",MONTH(A91))</f>
        <v/>
      </c>
    </row>
    <row r="92" ht="15.75" customHeight="1">
      <c r="G92" s="26">
        <f>IF(A92="","",N(G91)+IF(B92="Pemasukan",F92,-F92))</f>
        <v/>
      </c>
      <c r="H92" s="27">
        <f>IF(A92="","",MONTH(A92))</f>
        <v/>
      </c>
    </row>
    <row r="93" ht="15.75" customHeight="1">
      <c r="G93" s="26">
        <f>IF(A93="","",N(G92)+IF(B93="Pemasukan",F93,-F93))</f>
        <v/>
      </c>
      <c r="H93" s="27">
        <f>IF(A93="","",MONTH(A93))</f>
        <v/>
      </c>
    </row>
    <row r="94" ht="15.75" customHeight="1">
      <c r="G94" s="26">
        <f>IF(A94="","",N(G93)+IF(B94="Pemasukan",F94,-F94))</f>
        <v/>
      </c>
      <c r="H94" s="27">
        <f>IF(A94="","",MONTH(A94))</f>
        <v/>
      </c>
    </row>
    <row r="95" ht="15.75" customHeight="1">
      <c r="G95" s="26">
        <f>IF(A95="","",N(G94)+IF(B95="Pemasukan",F95,-F95))</f>
        <v/>
      </c>
      <c r="H95" s="27">
        <f>IF(A95="","",MONTH(A95))</f>
        <v/>
      </c>
    </row>
    <row r="96" ht="15.75" customHeight="1">
      <c r="G96" s="26">
        <f>IF(A96="","",N(G95)+IF(B96="Pemasukan",F96,-F96))</f>
        <v/>
      </c>
      <c r="H96" s="27">
        <f>IF(A96="","",MONTH(A96))</f>
        <v/>
      </c>
    </row>
    <row r="97" ht="15.75" customHeight="1">
      <c r="G97" s="26">
        <f>IF(A97="","",N(G96)+IF(B97="Pemasukan",F97,-F97))</f>
        <v/>
      </c>
      <c r="H97" s="27">
        <f>IF(A97="","",MONTH(A97))</f>
        <v/>
      </c>
    </row>
    <row r="98" ht="15.75" customHeight="1">
      <c r="G98" s="26">
        <f>IF(A98="","",N(G97)+IF(B98="Pemasukan",F98,-F98))</f>
        <v/>
      </c>
      <c r="H98" s="27">
        <f>IF(A98="","",MONTH(A98))</f>
        <v/>
      </c>
    </row>
    <row r="99" ht="15.75" customHeight="1">
      <c r="G99" s="26">
        <f>IF(A99="","",N(G98)+IF(B99="Pemasukan",F99,-F99))</f>
        <v/>
      </c>
      <c r="H99" s="27">
        <f>IF(A99="","",MONTH(A99))</f>
        <v/>
      </c>
    </row>
    <row r="100" ht="15.75" customHeight="1">
      <c r="G100" s="26">
        <f>IF(A100="","",N(G99)+IF(B100="Pemasukan",F100,-F100))</f>
        <v/>
      </c>
      <c r="H100" s="27">
        <f>IF(A100="","",MONTH(A100))</f>
        <v/>
      </c>
    </row>
    <row r="101" ht="15.75" customHeight="1">
      <c r="G101" s="26">
        <f>IF(A101="","",N(G100)+IF(B101="Pemasukan",F101,-F101))</f>
        <v/>
      </c>
      <c r="H101" s="27">
        <f>IF(A101="","",MONTH(A101))</f>
        <v/>
      </c>
    </row>
    <row r="102" ht="15.75" customHeight="1">
      <c r="G102" s="26">
        <f>IF(A102="","",N(G101)+IF(B102="Pemasukan",F102,-F102))</f>
        <v/>
      </c>
      <c r="H102" s="27">
        <f>IF(A102="","",MONTH(A102))</f>
        <v/>
      </c>
    </row>
    <row r="103" ht="15.75" customHeight="1">
      <c r="G103" s="26">
        <f>IF(A103="","",N(G102)+IF(B103="Pemasukan",F103,-F103))</f>
        <v/>
      </c>
      <c r="H103" s="27">
        <f>IF(A103="","",MONTH(A103))</f>
        <v/>
      </c>
    </row>
    <row r="104" ht="15.75" customHeight="1">
      <c r="G104" s="26">
        <f>IF(A104="","",N(G103)+IF(B104="Pemasukan",F104,-F104))</f>
        <v/>
      </c>
      <c r="H104" s="27">
        <f>IF(A104="","",MONTH(A104))</f>
        <v/>
      </c>
    </row>
    <row r="105" ht="15.75" customHeight="1">
      <c r="G105" s="26">
        <f>IF(A105="","",N(G104)+IF(B105="Pemasukan",F105,-F105))</f>
        <v/>
      </c>
      <c r="H105" s="27">
        <f>IF(A105="","",MONTH(A105))</f>
        <v/>
      </c>
    </row>
    <row r="106" ht="15.75" customHeight="1">
      <c r="G106" s="26">
        <f>IF(A106="","",N(G105)+IF(B106="Pemasukan",F106,-F106))</f>
        <v/>
      </c>
      <c r="H106" s="27">
        <f>IF(A106="","",MONTH(A106))</f>
        <v/>
      </c>
    </row>
    <row r="107" ht="15.75" customHeight="1">
      <c r="G107" s="26">
        <f>IF(A107="","",N(G106)+IF(B107="Pemasukan",F107,-F107))</f>
        <v/>
      </c>
      <c r="H107" s="27">
        <f>IF(A107="","",MONTH(A107))</f>
        <v/>
      </c>
    </row>
    <row r="108" ht="15.75" customHeight="1">
      <c r="G108" s="26">
        <f>IF(A108="","",N(G107)+IF(B108="Pemasukan",F108,-F108))</f>
        <v/>
      </c>
      <c r="H108" s="27">
        <f>IF(A108="","",MONTH(A108))</f>
        <v/>
      </c>
    </row>
    <row r="109" ht="15.75" customHeight="1">
      <c r="G109" s="26">
        <f>IF(A109="","",N(G108)+IF(B109="Pemasukan",F109,-F109))</f>
        <v/>
      </c>
      <c r="H109" s="27">
        <f>IF(A109="","",MONTH(A109))</f>
        <v/>
      </c>
    </row>
    <row r="110" ht="15.75" customHeight="1">
      <c r="G110" s="26">
        <f>IF(A110="","",N(G109)+IF(B110="Pemasukan",F110,-F110))</f>
        <v/>
      </c>
      <c r="H110" s="27">
        <f>IF(A110="","",MONTH(A110))</f>
        <v/>
      </c>
    </row>
    <row r="111" ht="15.75" customHeight="1">
      <c r="G111" s="26">
        <f>IF(A111="","",N(G110)+IF(B111="Pemasukan",F111,-F111))</f>
        <v/>
      </c>
      <c r="H111" s="27">
        <f>IF(A111="","",MONTH(A111))</f>
        <v/>
      </c>
    </row>
    <row r="112" ht="15.75" customHeight="1">
      <c r="G112" s="26">
        <f>IF(A112="","",N(G111)+IF(B112="Pemasukan",F112,-F112))</f>
        <v/>
      </c>
      <c r="H112" s="27">
        <f>IF(A112="","",MONTH(A112))</f>
        <v/>
      </c>
    </row>
    <row r="113" ht="15.75" customHeight="1">
      <c r="G113" s="26">
        <f>IF(A113="","",N(G112)+IF(B113="Pemasukan",F113,-F113))</f>
        <v/>
      </c>
      <c r="H113" s="27">
        <f>IF(A113="","",MONTH(A113))</f>
        <v/>
      </c>
    </row>
    <row r="114" ht="15.75" customHeight="1">
      <c r="G114" s="26">
        <f>IF(A114="","",N(G113)+IF(B114="Pemasukan",F114,-F114))</f>
        <v/>
      </c>
      <c r="H114" s="27">
        <f>IF(A114="","",MONTH(A114))</f>
        <v/>
      </c>
    </row>
    <row r="115" ht="15.75" customHeight="1">
      <c r="G115" s="26">
        <f>IF(A115="","",N(G114)+IF(B115="Pemasukan",F115,-F115))</f>
        <v/>
      </c>
      <c r="H115" s="27">
        <f>IF(A115="","",MONTH(A115))</f>
        <v/>
      </c>
    </row>
    <row r="116" ht="15.75" customHeight="1">
      <c r="G116" s="26">
        <f>IF(A116="","",N(G115)+IF(B116="Pemasukan",F116,-F116))</f>
        <v/>
      </c>
      <c r="H116" s="27">
        <f>IF(A116="","",MONTH(A116))</f>
        <v/>
      </c>
    </row>
    <row r="117" ht="15.75" customHeight="1">
      <c r="G117" s="26">
        <f>IF(A117="","",N(G116)+IF(B117="Pemasukan",F117,-F117))</f>
        <v/>
      </c>
      <c r="H117" s="27">
        <f>IF(A117="","",MONTH(A117))</f>
        <v/>
      </c>
    </row>
    <row r="118" ht="15.75" customHeight="1">
      <c r="G118" s="26">
        <f>IF(A118="","",N(G117)+IF(B118="Pemasukan",F118,-F118))</f>
        <v/>
      </c>
      <c r="H118" s="27">
        <f>IF(A118="","",MONTH(A118))</f>
        <v/>
      </c>
    </row>
    <row r="119" ht="15.75" customHeight="1">
      <c r="G119" s="26">
        <f>IF(A119="","",N(G118)+IF(B119="Pemasukan",F119,-F119))</f>
        <v/>
      </c>
      <c r="H119" s="27">
        <f>IF(A119="","",MONTH(A119))</f>
        <v/>
      </c>
    </row>
    <row r="120" ht="15.75" customHeight="1">
      <c r="G120" s="26">
        <f>IF(A120="","",N(G119)+IF(B120="Pemasukan",F120,-F120))</f>
        <v/>
      </c>
      <c r="H120" s="27">
        <f>IF(A120="","",MONTH(A120))</f>
        <v/>
      </c>
    </row>
    <row r="121" ht="15.75" customHeight="1">
      <c r="G121" s="26">
        <f>IF(A121="","",N(G120)+IF(B121="Pemasukan",F121,-F121))</f>
        <v/>
      </c>
      <c r="H121" s="27">
        <f>IF(A121="","",MONTH(A121))</f>
        <v/>
      </c>
    </row>
    <row r="122" ht="15.75" customHeight="1">
      <c r="G122" s="26">
        <f>IF(A122="","",N(G121)+IF(B122="Pemasukan",F122,-F122))</f>
        <v/>
      </c>
      <c r="H122" s="27">
        <f>IF(A122="","",MONTH(A122))</f>
        <v/>
      </c>
    </row>
    <row r="123" ht="15.75" customHeight="1">
      <c r="G123" s="26">
        <f>IF(A123="","",N(G122)+IF(B123="Pemasukan",F123,-F123))</f>
        <v/>
      </c>
      <c r="H123" s="27">
        <f>IF(A123="","",MONTH(A123))</f>
        <v/>
      </c>
    </row>
    <row r="124" ht="15.75" customHeight="1">
      <c r="G124" s="26">
        <f>IF(A124="","",N(G123)+IF(B124="Pemasukan",F124,-F124))</f>
        <v/>
      </c>
      <c r="H124" s="27">
        <f>IF(A124="","",MONTH(A124))</f>
        <v/>
      </c>
    </row>
    <row r="125" ht="15.75" customHeight="1">
      <c r="G125" s="26">
        <f>IF(A125="","",N(G124)+IF(B125="Pemasukan",F125,-F125))</f>
        <v/>
      </c>
      <c r="H125" s="27">
        <f>IF(A125="","",MONTH(A125))</f>
        <v/>
      </c>
    </row>
    <row r="126" ht="15.75" customHeight="1">
      <c r="G126" s="26">
        <f>IF(A126="","",N(G125)+IF(B126="Pemasukan",F126,-F126))</f>
        <v/>
      </c>
      <c r="H126" s="27">
        <f>IF(A126="","",MONTH(A126))</f>
        <v/>
      </c>
    </row>
    <row r="127" ht="15.75" customHeight="1">
      <c r="G127" s="26">
        <f>IF(A127="","",N(G126)+IF(B127="Pemasukan",F127,-F127))</f>
        <v/>
      </c>
      <c r="H127" s="27">
        <f>IF(A127="","",MONTH(A127))</f>
        <v/>
      </c>
    </row>
    <row r="128" ht="15.75" customHeight="1">
      <c r="G128" s="26">
        <f>IF(A128="","",N(G127)+IF(B128="Pemasukan",F128,-F128))</f>
        <v/>
      </c>
      <c r="H128" s="27">
        <f>IF(A128="","",MONTH(A128))</f>
        <v/>
      </c>
    </row>
    <row r="129" ht="15.75" customHeight="1">
      <c r="G129" s="26">
        <f>IF(A129="","",N(G128)+IF(B129="Pemasukan",F129,-F129))</f>
        <v/>
      </c>
      <c r="H129" s="27">
        <f>IF(A129="","",MONTH(A129))</f>
        <v/>
      </c>
    </row>
    <row r="130" ht="15.75" customHeight="1">
      <c r="G130" s="26">
        <f>IF(A130="","",N(G129)+IF(B130="Pemasukan",F130,-F130))</f>
        <v/>
      </c>
      <c r="H130" s="27">
        <f>IF(A130="","",MONTH(A130))</f>
        <v/>
      </c>
    </row>
    <row r="131" ht="15.75" customHeight="1">
      <c r="G131" s="26">
        <f>IF(A131="","",N(G130)+IF(B131="Pemasukan",F131,-F131))</f>
        <v/>
      </c>
      <c r="H131" s="27">
        <f>IF(A131="","",MONTH(A131))</f>
        <v/>
      </c>
    </row>
    <row r="132" ht="15.75" customHeight="1">
      <c r="G132" s="26">
        <f>IF(A132="","",N(G131)+IF(B132="Pemasukan",F132,-F132))</f>
        <v/>
      </c>
      <c r="H132" s="27">
        <f>IF(A132="","",MONTH(A132))</f>
        <v/>
      </c>
    </row>
    <row r="133" ht="15.75" customHeight="1">
      <c r="G133" s="26">
        <f>IF(A133="","",N(G132)+IF(B133="Pemasukan",F133,-F133))</f>
        <v/>
      </c>
      <c r="H133" s="27">
        <f>IF(A133="","",MONTH(A133))</f>
        <v/>
      </c>
    </row>
    <row r="134" ht="15.75" customHeight="1">
      <c r="G134" s="26">
        <f>IF(A134="","",N(G133)+IF(B134="Pemasukan",F134,-F134))</f>
        <v/>
      </c>
      <c r="H134" s="27">
        <f>IF(A134="","",MONTH(A134))</f>
        <v/>
      </c>
    </row>
    <row r="135" ht="15.75" customHeight="1">
      <c r="G135" s="26">
        <f>IF(A135="","",N(G134)+IF(B135="Pemasukan",F135,-F135))</f>
        <v/>
      </c>
      <c r="H135" s="27">
        <f>IF(A135="","",MONTH(A135))</f>
        <v/>
      </c>
    </row>
    <row r="136" ht="15.75" customHeight="1">
      <c r="G136" s="26">
        <f>IF(A136="","",N(G135)+IF(B136="Pemasukan",F136,-F136))</f>
        <v/>
      </c>
      <c r="H136" s="27">
        <f>IF(A136="","",MONTH(A136))</f>
        <v/>
      </c>
    </row>
    <row r="137" ht="15.75" customHeight="1">
      <c r="G137" s="26">
        <f>IF(A137="","",N(G136)+IF(B137="Pemasukan",F137,-F137))</f>
        <v/>
      </c>
      <c r="H137" s="27">
        <f>IF(A137="","",MONTH(A137))</f>
        <v/>
      </c>
    </row>
    <row r="138" ht="15.75" customHeight="1">
      <c r="G138" s="26">
        <f>IF(A138="","",N(G137)+IF(B138="Pemasukan",F138,-F138))</f>
        <v/>
      </c>
      <c r="H138" s="27">
        <f>IF(A138="","",MONTH(A138))</f>
        <v/>
      </c>
    </row>
    <row r="139" ht="15.75" customHeight="1">
      <c r="G139" s="26">
        <f>IF(A139="","",N(G138)+IF(B139="Pemasukan",F139,-F139))</f>
        <v/>
      </c>
      <c r="H139" s="27">
        <f>IF(A139="","",MONTH(A139))</f>
        <v/>
      </c>
    </row>
    <row r="140" ht="15.75" customHeight="1">
      <c r="G140" s="26">
        <f>IF(A140="","",N(G139)+IF(B140="Pemasukan",F140,-F140))</f>
        <v/>
      </c>
      <c r="H140" s="27">
        <f>IF(A140="","",MONTH(A140))</f>
        <v/>
      </c>
    </row>
    <row r="141" ht="15.75" customHeight="1">
      <c r="G141" s="26">
        <f>IF(A141="","",N(G140)+IF(B141="Pemasukan",F141,-F141))</f>
        <v/>
      </c>
      <c r="H141" s="27">
        <f>IF(A141="","",MONTH(A141))</f>
        <v/>
      </c>
    </row>
    <row r="142" ht="15.75" customHeight="1">
      <c r="G142" s="26">
        <f>IF(A142="","",N(G141)+IF(B142="Pemasukan",F142,-F142))</f>
        <v/>
      </c>
      <c r="H142" s="27">
        <f>IF(A142="","",MONTH(A142))</f>
        <v/>
      </c>
    </row>
    <row r="143" ht="15.75" customHeight="1">
      <c r="G143" s="26">
        <f>IF(A143="","",N(G142)+IF(B143="Pemasukan",F143,-F143))</f>
        <v/>
      </c>
      <c r="H143" s="27">
        <f>IF(A143="","",MONTH(A143))</f>
        <v/>
      </c>
    </row>
    <row r="144" ht="15.75" customHeight="1">
      <c r="G144" s="26">
        <f>IF(A144="","",N(G143)+IF(B144="Pemasukan",F144,-F144))</f>
        <v/>
      </c>
      <c r="H144" s="27">
        <f>IF(A144="","",MONTH(A144))</f>
        <v/>
      </c>
    </row>
    <row r="145" ht="15.75" customHeight="1">
      <c r="G145" s="26">
        <f>IF(A145="","",N(G144)+IF(B145="Pemasukan",F145,-F145))</f>
        <v/>
      </c>
      <c r="H145" s="27">
        <f>IF(A145="","",MONTH(A145))</f>
        <v/>
      </c>
    </row>
    <row r="146" ht="15.75" customHeight="1">
      <c r="G146" s="26">
        <f>IF(A146="","",N(G145)+IF(B146="Pemasukan",F146,-F146))</f>
        <v/>
      </c>
      <c r="H146" s="27">
        <f>IF(A146="","",MONTH(A146))</f>
        <v/>
      </c>
    </row>
    <row r="147" ht="15.75" customHeight="1">
      <c r="G147" s="26">
        <f>IF(A147="","",N(G146)+IF(B147="Pemasukan",F147,-F147))</f>
        <v/>
      </c>
      <c r="H147" s="27">
        <f>IF(A147="","",MONTH(A147))</f>
        <v/>
      </c>
    </row>
    <row r="148" ht="15.75" customHeight="1">
      <c r="G148" s="26">
        <f>IF(A148="","",N(G147)+IF(B148="Pemasukan",F148,-F148))</f>
        <v/>
      </c>
      <c r="H148" s="27">
        <f>IF(A148="","",MONTH(A148))</f>
        <v/>
      </c>
    </row>
    <row r="149" ht="15.75" customHeight="1">
      <c r="G149" s="26">
        <f>IF(A149="","",N(G148)+IF(B149="Pemasukan",F149,-F149))</f>
        <v/>
      </c>
      <c r="H149" s="27">
        <f>IF(A149="","",MONTH(A149))</f>
        <v/>
      </c>
    </row>
    <row r="150" ht="15.75" customHeight="1">
      <c r="G150" s="26">
        <f>IF(A150="","",N(G149)+IF(B150="Pemasukan",F150,-F150))</f>
        <v/>
      </c>
      <c r="H150" s="27">
        <f>IF(A150="","",MONTH(A150))</f>
        <v/>
      </c>
    </row>
    <row r="151" ht="15.75" customHeight="1">
      <c r="G151" s="26">
        <f>IF(A151="","",N(G150)+IF(B151="Pemasukan",F151,-F151))</f>
        <v/>
      </c>
      <c r="H151" s="27">
        <f>IF(A151="","",MONTH(A151))</f>
        <v/>
      </c>
    </row>
    <row r="152" ht="15.75" customHeight="1">
      <c r="G152" s="26">
        <f>IF(A152="","",N(G151)+IF(B152="Pemasukan",F152,-F152))</f>
        <v/>
      </c>
      <c r="H152" s="27">
        <f>IF(A152="","",MONTH(A152))</f>
        <v/>
      </c>
    </row>
    <row r="153" ht="15.75" customHeight="1">
      <c r="G153" s="26">
        <f>IF(A153="","",N(G152)+IF(B153="Pemasukan",F153,-F153))</f>
        <v/>
      </c>
      <c r="H153" s="27">
        <f>IF(A153="","",MONTH(A153))</f>
        <v/>
      </c>
    </row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8.57" customWidth="1" min="1" max="1"/>
    <col width="15.43" customWidth="1" min="2" max="2"/>
    <col width="13" customWidth="1" min="3" max="3"/>
    <col width="13" customWidth="1" min="4" max="4"/>
    <col width="15.57" customWidth="1" min="5" max="5"/>
    <col width="8.710000000000001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28" t="inlineStr">
        <is>
          <t>RINGKASAN: BUDGET vs REALISASI</t>
        </is>
      </c>
    </row>
    <row r="3">
      <c r="A3" s="29" t="inlineStr">
        <is>
          <t>Pilih Bulan:</t>
        </is>
      </c>
      <c r="B3" s="30" t="inlineStr">
        <is>
          <t>Jan</t>
        </is>
      </c>
    </row>
    <row r="5">
      <c r="A5" s="25" t="inlineStr">
        <is>
          <t>Kategori</t>
        </is>
      </c>
      <c r="B5" s="31" t="inlineStr">
        <is>
          <t>Budget</t>
        </is>
      </c>
      <c r="C5" s="31" t="inlineStr">
        <is>
          <t>Realisasi</t>
        </is>
      </c>
      <c r="D5" s="25" t="inlineStr">
        <is>
          <t>Sisa</t>
        </is>
      </c>
      <c r="E5" s="25" t="inlineStr">
        <is>
          <t>Persentase</t>
        </is>
      </c>
    </row>
    <row r="6">
      <c r="A6" s="32" t="inlineStr">
        <is>
          <t>Kebutuhan Pokok</t>
        </is>
      </c>
      <c r="B6" s="33">
        <f t="array" ref="B6">IFERROR(INDEX('BUDGETING TAHUNAN'!$B$4:$M$14,MATCH($A6,'BUDGETING TAHUNAN'!$A$4:$A$14,0),MATCH($B$3,'BUDGETING TAHUNAN'!$B$3:$M$3,0)),0)</f>
        <v/>
      </c>
      <c r="C6" s="33">
        <f t="array" ref="C6">SUMIFS('CATATAN PENGELUARAN'!$F$4:$F$153,'CATATAN PENGELUARAN'!$C$4:$C$153,$A6,'CATATAN PENGELUARAN'!$H$4:$H$153,INDEX(SETTINGS!$J$4:$J$15,MATCH($B$3,SETTINGS!$I$4:$I$15,0)),'CATATAN PENGELUARAN'!$B$4:$B$153,"Pengeluaran")</f>
        <v/>
      </c>
      <c r="D6" s="33">
        <f>B6-C6</f>
        <v/>
      </c>
      <c r="E6" s="34">
        <f>IFERROR(C6/B6,0)</f>
        <v/>
      </c>
    </row>
    <row r="7">
      <c r="A7" s="32" t="inlineStr">
        <is>
          <t>Makanan &amp; Minuman</t>
        </is>
      </c>
      <c r="B7" s="33">
        <f t="array" ref="B7">IFERROR(INDEX('BUDGETING TAHUNAN'!$B$4:$M$14,MATCH($A7,'BUDGETING TAHUNAN'!$A$4:$A$14,0),MATCH($B$3,'BUDGETING TAHUNAN'!$B$3:$M$3,0)),0)</f>
        <v/>
      </c>
      <c r="C7" s="33">
        <f t="array" ref="C7">SUMIFS('CATATAN PENGELUARAN'!$F$4:$F$153,'CATATAN PENGELUARAN'!$C$4:$C$153,$A7,'CATATAN PENGELUARAN'!$H$4:$H$153,INDEX(SETTINGS!$J$4:$J$15,MATCH($B$3,SETTINGS!$I$4:$I$15,0)),'CATATAN PENGELUARAN'!$B$4:$B$153,"Pengeluaran")</f>
        <v/>
      </c>
      <c r="D7" s="33">
        <f>B7-C7</f>
        <v/>
      </c>
      <c r="E7" s="34">
        <f>IFERROR(C7/B7,0)</f>
        <v/>
      </c>
    </row>
    <row r="8">
      <c r="A8" s="32" t="inlineStr">
        <is>
          <t>Transportasi</t>
        </is>
      </c>
      <c r="B8" s="33">
        <f t="array" ref="B8">IFERROR(INDEX('BUDGETING TAHUNAN'!$B$4:$M$14,MATCH($A8,'BUDGETING TAHUNAN'!$A$4:$A$14,0),MATCH($B$3,'BUDGETING TAHUNAN'!$B$3:$M$3,0)),0)</f>
        <v/>
      </c>
      <c r="C8" s="33">
        <f t="array" ref="C8">SUMIFS('CATATAN PENGELUARAN'!$F$4:$F$153,'CATATAN PENGELUARAN'!$C$4:$C$153,$A8,'CATATAN PENGELUARAN'!$H$4:$H$153,INDEX(SETTINGS!$J$4:$J$15,MATCH($B$3,SETTINGS!$I$4:$I$15,0)),'CATATAN PENGELUARAN'!$B$4:$B$153,"Pengeluaran")</f>
        <v/>
      </c>
      <c r="D8" s="33">
        <f>B8-C8</f>
        <v/>
      </c>
      <c r="E8" s="34">
        <f>IFERROR(C8/B8,0)</f>
        <v/>
      </c>
    </row>
    <row r="9">
      <c r="A9" s="32" t="inlineStr">
        <is>
          <t>Kesehatan</t>
        </is>
      </c>
      <c r="B9" s="33">
        <f t="array" ref="B9">IFERROR(INDEX('BUDGETING TAHUNAN'!$B$4:$M$14,MATCH($A9,'BUDGETING TAHUNAN'!$A$4:$A$14,0),MATCH($B$3,'BUDGETING TAHUNAN'!$B$3:$M$3,0)),0)</f>
        <v/>
      </c>
      <c r="C9" s="33">
        <f t="array" ref="C9">SUMIFS('CATATAN PENGELUARAN'!$F$4:$F$153,'CATATAN PENGELUARAN'!$C$4:$C$153,$A9,'CATATAN PENGELUARAN'!$H$4:$H$153,INDEX(SETTINGS!$J$4:$J$15,MATCH($B$3,SETTINGS!$I$4:$I$15,0)),'CATATAN PENGELUARAN'!$B$4:$B$153,"Pengeluaran")</f>
        <v/>
      </c>
      <c r="D9" s="33">
        <f>B9-C9</f>
        <v/>
      </c>
      <c r="E9" s="34">
        <f>IFERROR(C9/B9,0)</f>
        <v/>
      </c>
    </row>
    <row r="10">
      <c r="A10" s="32" t="inlineStr">
        <is>
          <t>Hiburan</t>
        </is>
      </c>
      <c r="B10" s="33">
        <f t="array" ref="B10">IFERROR(INDEX('BUDGETING TAHUNAN'!$B$4:$M$14,MATCH($A10,'BUDGETING TAHUNAN'!$A$4:$A$14,0),MATCH($B$3,'BUDGETING TAHUNAN'!$B$3:$M$3,0)),0)</f>
        <v/>
      </c>
      <c r="C10" s="33">
        <f t="array" ref="C10">SUMIFS('CATATAN PENGELUARAN'!$F$4:$F$153,'CATATAN PENGELUARAN'!$C$4:$C$153,$A10,'CATATAN PENGELUARAN'!$H$4:$H$153,INDEX(SETTINGS!$J$4:$J$15,MATCH($B$3,SETTINGS!$I$4:$I$15,0)),'CATATAN PENGELUARAN'!$B$4:$B$153,"Pengeluaran")</f>
        <v/>
      </c>
      <c r="D10" s="33">
        <f>B10-C10</f>
        <v/>
      </c>
      <c r="E10" s="34">
        <f>IFERROR(C10/B10,0)</f>
        <v/>
      </c>
    </row>
    <row r="11">
      <c r="A11" s="32" t="inlineStr">
        <is>
          <t>Pendidikan</t>
        </is>
      </c>
      <c r="B11" s="33">
        <f t="array" ref="B11">IFERROR(INDEX('BUDGETING TAHUNAN'!$B$4:$M$14,MATCH($A11,'BUDGETING TAHUNAN'!$A$4:$A$14,0),MATCH($B$3,'BUDGETING TAHUNAN'!$B$3:$M$3,0)),0)</f>
        <v/>
      </c>
      <c r="C11" s="33">
        <f t="array" ref="C11">SUMIFS('CATATAN PENGELUARAN'!$F$4:$F$153,'CATATAN PENGELUARAN'!$C$4:$C$153,$A11,'CATATAN PENGELUARAN'!$H$4:$H$153,INDEX(SETTINGS!$J$4:$J$15,MATCH($B$3,SETTINGS!$I$4:$I$15,0)),'CATATAN PENGELUARAN'!$B$4:$B$153,"Pengeluaran")</f>
        <v/>
      </c>
      <c r="D11" s="33">
        <f>B11-C11</f>
        <v/>
      </c>
      <c r="E11" s="34">
        <f>IFERROR(C11/B11,0)</f>
        <v/>
      </c>
    </row>
    <row r="12">
      <c r="A12" s="32" t="inlineStr">
        <is>
          <t>Utilitas &amp; Listrik</t>
        </is>
      </c>
      <c r="B12" s="33">
        <f t="array" ref="B12">IFERROR(INDEX('BUDGETING TAHUNAN'!$B$4:$M$14,MATCH($A12,'BUDGETING TAHUNAN'!$A$4:$A$14,0),MATCH($B$3,'BUDGETING TAHUNAN'!$B$3:$M$3,0)),0)</f>
        <v/>
      </c>
      <c r="C12" s="33">
        <f t="array" ref="C12">SUMIFS('CATATAN PENGELUARAN'!$F$4:$F$153,'CATATAN PENGELUARAN'!$C$4:$C$153,$A12,'CATATAN PENGELUARAN'!$H$4:$H$153,INDEX(SETTINGS!$J$4:$J$15,MATCH($B$3,SETTINGS!$I$4:$I$15,0)),'CATATAN PENGELUARAN'!$B$4:$B$153,"Pengeluaran")</f>
        <v/>
      </c>
      <c r="D12" s="33">
        <f>B12-C12</f>
        <v/>
      </c>
      <c r="E12" s="34">
        <f>IFERROR(C12/B12,0)</f>
        <v/>
      </c>
    </row>
    <row r="13">
      <c r="A13" s="32" t="inlineStr">
        <is>
          <t>Cicilan</t>
        </is>
      </c>
      <c r="B13" s="33">
        <f t="array" ref="B13">IFERROR(INDEX('BUDGETING TAHUNAN'!$B$4:$M$14,MATCH($A13,'BUDGETING TAHUNAN'!$A$4:$A$14,0),MATCH($B$3,'BUDGETING TAHUNAN'!$B$3:$M$3,0)),0)</f>
        <v/>
      </c>
      <c r="C13" s="33">
        <f t="array" ref="C13">SUMIFS('CATATAN PENGELUARAN'!$F$4:$F$153,'CATATAN PENGELUARAN'!$C$4:$C$153,$A13,'CATATAN PENGELUARAN'!$H$4:$H$153,INDEX(SETTINGS!$J$4:$J$15,MATCH($B$3,SETTINGS!$I$4:$I$15,0)),'CATATAN PENGELUARAN'!$B$4:$B$153,"Pengeluaran")</f>
        <v/>
      </c>
      <c r="D13" s="33">
        <f>B13-C13</f>
        <v/>
      </c>
      <c r="E13" s="34">
        <f>IFERROR(C13/B13,0)</f>
        <v/>
      </c>
    </row>
    <row r="14">
      <c r="A14" s="32" t="inlineStr">
        <is>
          <t>Belanja Pribadi</t>
        </is>
      </c>
      <c r="B14" s="33">
        <f t="array" ref="B14">IFERROR(INDEX('BUDGETING TAHUNAN'!$B$4:$M$14,MATCH($A14,'BUDGETING TAHUNAN'!$A$4:$A$14,0),MATCH($B$3,'BUDGETING TAHUNAN'!$B$3:$M$3,0)),0)</f>
        <v/>
      </c>
      <c r="C14" s="33">
        <f t="array" ref="C14">SUMIFS('CATATAN PENGELUARAN'!$F$4:$F$153,'CATATAN PENGELUARAN'!$C$4:$C$153,$A14,'CATATAN PENGELUARAN'!$H$4:$H$153,INDEX(SETTINGS!$J$4:$J$15,MATCH($B$3,SETTINGS!$I$4:$I$15,0)),'CATATAN PENGELUARAN'!$B$4:$B$153,"Pengeluaran")</f>
        <v/>
      </c>
      <c r="D14" s="33">
        <f>B14-C14</f>
        <v/>
      </c>
      <c r="E14" s="34">
        <f>IFERROR(C14/B14,0)</f>
        <v/>
      </c>
    </row>
    <row r="15">
      <c r="A15" s="32" t="inlineStr">
        <is>
          <t>Sosial &amp; Amal</t>
        </is>
      </c>
      <c r="B15" s="33">
        <f t="array" ref="B15">IFERROR(INDEX('BUDGETING TAHUNAN'!$B$4:$M$14,MATCH($A15,'BUDGETING TAHUNAN'!$A$4:$A$14,0),MATCH($B$3,'BUDGETING TAHUNAN'!$B$3:$M$3,0)),0)</f>
        <v/>
      </c>
      <c r="C15" s="33">
        <f t="array" ref="C15">SUMIFS('CATATAN PENGELUARAN'!$F$4:$F$153,'CATATAN PENGELUARAN'!$C$4:$C$153,$A15,'CATATAN PENGELUARAN'!$H$4:$H$153,INDEX(SETTINGS!$J$4:$J$15,MATCH($B$3,SETTINGS!$I$4:$I$15,0)),'CATATAN PENGELUARAN'!$B$4:$B$153,"Pengeluaran")</f>
        <v/>
      </c>
      <c r="D15" s="33">
        <f>B15-C15</f>
        <v/>
      </c>
      <c r="E15" s="34">
        <f>IFERROR(C15/B15,0)</f>
        <v/>
      </c>
    </row>
    <row r="16">
      <c r="A16" s="32" t="inlineStr">
        <is>
          <t>Lainnya</t>
        </is>
      </c>
      <c r="B16" s="33">
        <f t="array" ref="B16">IFERROR(INDEX('BUDGETING TAHUNAN'!$B$4:$M$14,MATCH($A16,'BUDGETING TAHUNAN'!$A$4:$A$14,0),MATCH($B$3,'BUDGETING TAHUNAN'!$B$3:$M$3,0)),0)</f>
        <v/>
      </c>
      <c r="C16" s="33">
        <f t="array" ref="C16">SUMIFS('CATATAN PENGELUARAN'!$F$4:$F$153,'CATATAN PENGELUARAN'!$C$4:$C$153,$A16,'CATATAN PENGELUARAN'!$H$4:$H$153,INDEX(SETTINGS!$J$4:$J$15,MATCH($B$3,SETTINGS!$I$4:$I$15,0)),'CATATAN PENGELUARAN'!$B$4:$B$153,"Pengeluaran")</f>
        <v/>
      </c>
      <c r="D16" s="33">
        <f>B16-C16</f>
        <v/>
      </c>
      <c r="E16" s="34">
        <f>IFERROR(C16/B16,0)</f>
        <v/>
      </c>
    </row>
    <row r="17">
      <c r="A17" s="35" t="inlineStr">
        <is>
          <t>TOTAL</t>
        </is>
      </c>
      <c r="B17" s="36">
        <f>SUM(B6:B16)</f>
        <v/>
      </c>
      <c r="C17" s="36">
        <f>SUM(C6:C16)</f>
        <v/>
      </c>
      <c r="D17" s="36">
        <f>B17-C17</f>
        <v/>
      </c>
      <c r="E17" s="37">
        <f>IFERROR(C17/B17,0)</f>
        <v/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0.29" customWidth="1" min="1" max="1"/>
    <col width="17.57" customWidth="1" min="2" max="2"/>
    <col width="18.14" customWidth="1" min="3" max="3"/>
    <col width="9.710000000000001" customWidth="1" min="4" max="4"/>
    <col width="16.29" customWidth="1" min="5" max="5"/>
    <col width="19.57" customWidth="1" min="6" max="6"/>
    <col width="8.710000000000001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28" t="inlineStr">
        <is>
          <t>PENCATATAN ASET</t>
        </is>
      </c>
    </row>
    <row r="3">
      <c r="A3" s="14" t="inlineStr">
        <is>
          <t>ASET LIKUID (Mudah Dicairkan)</t>
        </is>
      </c>
    </row>
    <row r="4">
      <c r="A4" s="38" t="inlineStr">
        <is>
          <t>Jenis Aset</t>
        </is>
      </c>
      <c r="B4" s="39" t="inlineStr">
        <is>
          <t>Nilai Saat Ini</t>
        </is>
      </c>
      <c r="C4" s="39" t="inlineStr">
        <is>
          <t>Target</t>
        </is>
      </c>
      <c r="D4" s="38" t="inlineStr">
        <is>
          <t>Progress</t>
        </is>
      </c>
      <c r="E4" s="38" t="inlineStr">
        <is>
          <t>Tanggal Update</t>
        </is>
      </c>
      <c r="F4" s="38" t="inlineStr">
        <is>
          <t>Catatan</t>
        </is>
      </c>
    </row>
    <row r="5">
      <c r="A5" s="27" t="inlineStr">
        <is>
          <t>Tabungan Bank</t>
        </is>
      </c>
      <c r="B5" s="40" t="n">
        <v>0</v>
      </c>
      <c r="C5" s="40" t="n">
        <v>0</v>
      </c>
      <c r="D5" s="41">
        <f>IFERROR(B5/C5,0)</f>
        <v/>
      </c>
    </row>
    <row r="6">
      <c r="A6" s="27" t="inlineStr">
        <is>
          <t>E-Wallet</t>
        </is>
      </c>
      <c r="B6" s="40" t="n">
        <v>0</v>
      </c>
      <c r="C6" s="40" t="n">
        <v>0</v>
      </c>
      <c r="D6" s="41">
        <f>IFERROR(B6/C6,0)</f>
        <v/>
      </c>
    </row>
    <row r="7">
      <c r="A7" s="27" t="inlineStr">
        <is>
          <t>Uang Tunai</t>
        </is>
      </c>
      <c r="B7" s="40" t="n">
        <v>0</v>
      </c>
      <c r="C7" s="40" t="n">
        <v>0</v>
      </c>
      <c r="D7" s="41">
        <f>IFERROR(B7/C7,0)</f>
        <v/>
      </c>
    </row>
    <row r="9">
      <c r="A9" s="14" t="inlineStr">
        <is>
          <t>ASET NON-LIKUID (Investasi)</t>
        </is>
      </c>
    </row>
    <row r="10">
      <c r="A10" s="38" t="inlineStr">
        <is>
          <t>Jenis Aset</t>
        </is>
      </c>
      <c r="B10" s="39" t="inlineStr">
        <is>
          <t>Nilai Saat Ini</t>
        </is>
      </c>
      <c r="C10" s="39" t="inlineStr">
        <is>
          <t>Target</t>
        </is>
      </c>
      <c r="D10" s="38" t="inlineStr">
        <is>
          <t>Progress</t>
        </is>
      </c>
      <c r="E10" s="38" t="inlineStr">
        <is>
          <t>Tanggal Update</t>
        </is>
      </c>
      <c r="F10" s="38" t="inlineStr">
        <is>
          <t>Catatan</t>
        </is>
      </c>
    </row>
    <row r="11">
      <c r="A11" s="27" t="inlineStr">
        <is>
          <t>Emas</t>
        </is>
      </c>
      <c r="B11" s="40" t="n">
        <v>0</v>
      </c>
      <c r="C11" s="40" t="n">
        <v>0</v>
      </c>
      <c r="D11" s="41">
        <f>IFERROR(B11/C11,0)</f>
        <v/>
      </c>
    </row>
    <row r="12">
      <c r="A12" s="27" t="inlineStr">
        <is>
          <t>Saham</t>
        </is>
      </c>
      <c r="B12" s="40" t="n">
        <v>0</v>
      </c>
      <c r="C12" s="40" t="n">
        <v>0</v>
      </c>
      <c r="D12" s="41">
        <f>IFERROR(B12/C12,0)</f>
        <v/>
      </c>
    </row>
    <row r="13">
      <c r="A13" s="27" t="inlineStr">
        <is>
          <t>Crypto</t>
        </is>
      </c>
      <c r="B13" s="40" t="n">
        <v>0</v>
      </c>
      <c r="C13" s="40" t="n">
        <v>0</v>
      </c>
      <c r="D13" s="41">
        <f>IFERROR(B13/C13,0)</f>
        <v/>
      </c>
    </row>
    <row r="14">
      <c r="A14" s="27" t="inlineStr">
        <is>
          <t>Deposito</t>
        </is>
      </c>
      <c r="B14" s="40" t="n">
        <v>0</v>
      </c>
      <c r="C14" s="40" t="n">
        <v>0</v>
      </c>
      <c r="D14" s="41">
        <f>IFERROR(B14/C14,0)</f>
        <v/>
      </c>
    </row>
    <row r="15">
      <c r="A15" s="27" t="inlineStr">
        <is>
          <t>Reksa Dana</t>
        </is>
      </c>
      <c r="B15" s="40" t="n">
        <v>0</v>
      </c>
      <c r="C15" s="40" t="n">
        <v>0</v>
      </c>
      <c r="D15" s="41">
        <f>IFERROR(B15/C15,0)</f>
        <v/>
      </c>
    </row>
    <row r="17">
      <c r="A17" s="35" t="inlineStr">
        <is>
          <t>TOTAL ASET KESELURUHAN</t>
        </is>
      </c>
      <c r="B17" s="36">
        <f>SUM(B5:B7)+SUM(B11:B15)</f>
        <v/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3:F3"/>
    <mergeCell ref="A1:F1"/>
    <mergeCell ref="A9:F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65.86" customWidth="1" min="1" max="1"/>
    <col width="2" customWidth="1" min="2" max="2"/>
    <col width="20.71" customWidth="1" min="3" max="3"/>
    <col width="2" customWidth="1" min="4" max="4"/>
    <col width="17.29" customWidth="1" min="5" max="5"/>
    <col width="2" customWidth="1" min="6" max="6"/>
    <col width="16" customWidth="1" min="7" max="7"/>
    <col width="2" customWidth="1" min="8" max="8"/>
    <col width="7.29" customWidth="1" min="9" max="9"/>
    <col width="3.86" customWidth="1" min="10" max="10"/>
    <col width="8.710000000000001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14" t="inlineStr">
        <is>
          <t>PENGATURAN &amp; KONFIGURASI</t>
        </is>
      </c>
    </row>
    <row r="2">
      <c r="A2" s="15" t="inlineStr">
        <is>
          <t>Ubah daftar di bawah ini untuk menyesuaikan kategori, sumber pemasukan, dan rekening yang digunakan.</t>
        </is>
      </c>
    </row>
    <row r="3">
      <c r="A3" s="20" t="inlineStr">
        <is>
          <t>KATEGORI PENGELUARAN</t>
        </is>
      </c>
      <c r="C3" s="20" t="inlineStr">
        <is>
          <t>SUMBER PEMASUKAN</t>
        </is>
      </c>
      <c r="E3" s="20" t="inlineStr">
        <is>
          <t>REKENING BANK</t>
        </is>
      </c>
      <c r="G3" s="20" t="inlineStr">
        <is>
          <t>TIPE TRANSAKSI</t>
        </is>
      </c>
      <c r="I3" s="20" t="inlineStr">
        <is>
          <t>BULAN</t>
        </is>
      </c>
      <c r="J3" s="20" t="inlineStr">
        <is>
          <t>NO</t>
        </is>
      </c>
    </row>
    <row r="4">
      <c r="A4" s="18" t="inlineStr">
        <is>
          <t>Kebutuhan Pokok</t>
        </is>
      </c>
      <c r="C4" s="18" t="inlineStr">
        <is>
          <t>Gaji Utama</t>
        </is>
      </c>
      <c r="E4" s="18" t="inlineStr">
        <is>
          <t>Rekening Utama</t>
        </is>
      </c>
      <c r="G4" s="18" t="inlineStr">
        <is>
          <t>Pemasukan</t>
        </is>
      </c>
      <c r="I4" s="18" t="inlineStr">
        <is>
          <t>Jan</t>
        </is>
      </c>
      <c r="J4" s="18" t="n">
        <v>1</v>
      </c>
    </row>
    <row r="5">
      <c r="A5" s="12" t="inlineStr">
        <is>
          <t>Makanan &amp; Minuman</t>
        </is>
      </c>
      <c r="C5" s="12" t="inlineStr">
        <is>
          <t>Gaji Tambahan</t>
        </is>
      </c>
      <c r="E5" s="12" t="inlineStr">
        <is>
          <t>Rekening Tabungan</t>
        </is>
      </c>
      <c r="G5" s="12" t="inlineStr">
        <is>
          <t>Pengeluaran</t>
        </is>
      </c>
      <c r="I5" s="12" t="inlineStr">
        <is>
          <t>Feb</t>
        </is>
      </c>
      <c r="J5" s="12" t="n">
        <v>2</v>
      </c>
    </row>
    <row r="6">
      <c r="A6" s="18" t="inlineStr">
        <is>
          <t>Transportasi</t>
        </is>
      </c>
      <c r="C6" s="18" t="inlineStr">
        <is>
          <t>Bonus</t>
        </is>
      </c>
      <c r="E6" s="18" t="inlineStr">
        <is>
          <t>E-Wallet</t>
        </is>
      </c>
      <c r="I6" s="18" t="inlineStr">
        <is>
          <t>Mar</t>
        </is>
      </c>
      <c r="J6" s="18" t="n">
        <v>3</v>
      </c>
    </row>
    <row r="7">
      <c r="A7" s="12" t="inlineStr">
        <is>
          <t>Kesehatan</t>
        </is>
      </c>
      <c r="C7" s="12" t="inlineStr">
        <is>
          <t>Investasi Return</t>
        </is>
      </c>
      <c r="E7" s="12" t="inlineStr">
        <is>
          <t>Tunai</t>
        </is>
      </c>
      <c r="I7" s="12" t="inlineStr">
        <is>
          <t>Apr</t>
        </is>
      </c>
      <c r="J7" s="12" t="n">
        <v>4</v>
      </c>
    </row>
    <row r="8">
      <c r="A8" s="18" t="inlineStr">
        <is>
          <t>Hiburan</t>
        </is>
      </c>
      <c r="C8" s="18" t="inlineStr">
        <is>
          <t>Lainnya</t>
        </is>
      </c>
      <c r="E8" s="18" t="inlineStr">
        <is>
          <t>Rekening 5</t>
        </is>
      </c>
      <c r="I8" s="18" t="inlineStr">
        <is>
          <t>Mei</t>
        </is>
      </c>
      <c r="J8" s="18" t="n">
        <v>5</v>
      </c>
    </row>
    <row r="9">
      <c r="A9" s="12" t="inlineStr">
        <is>
          <t>Pendidikan</t>
        </is>
      </c>
      <c r="E9" s="12" t="inlineStr">
        <is>
          <t>Rekening 6</t>
        </is>
      </c>
      <c r="I9" s="12" t="inlineStr">
        <is>
          <t>Jun</t>
        </is>
      </c>
      <c r="J9" s="12" t="n">
        <v>6</v>
      </c>
    </row>
    <row r="10">
      <c r="A10" s="18" t="inlineStr">
        <is>
          <t>Utilitas &amp; Listrik</t>
        </is>
      </c>
      <c r="I10" s="18" t="inlineStr">
        <is>
          <t>Jul</t>
        </is>
      </c>
      <c r="J10" s="18" t="n">
        <v>7</v>
      </c>
    </row>
    <row r="11">
      <c r="A11" s="12" t="inlineStr">
        <is>
          <t>Cicilan</t>
        </is>
      </c>
      <c r="I11" s="12" t="inlineStr">
        <is>
          <t>Agu</t>
        </is>
      </c>
      <c r="J11" s="12" t="n">
        <v>8</v>
      </c>
    </row>
    <row r="12">
      <c r="A12" s="18" t="inlineStr">
        <is>
          <t>Belanja Pribadi</t>
        </is>
      </c>
      <c r="I12" s="18" t="inlineStr">
        <is>
          <t>Sep</t>
        </is>
      </c>
      <c r="J12" s="18" t="n">
        <v>9</v>
      </c>
    </row>
    <row r="13">
      <c r="A13" s="12" t="inlineStr">
        <is>
          <t>Sosial &amp; Amal</t>
        </is>
      </c>
      <c r="I13" s="12" t="inlineStr">
        <is>
          <t>Okt</t>
        </is>
      </c>
      <c r="J13" s="12" t="n">
        <v>10</v>
      </c>
    </row>
    <row r="14">
      <c r="A14" s="18" t="inlineStr">
        <is>
          <t>Lainnya</t>
        </is>
      </c>
      <c r="I14" s="18" t="inlineStr">
        <is>
          <t>Nov</t>
        </is>
      </c>
      <c r="J14" s="18" t="n">
        <v>11</v>
      </c>
    </row>
    <row r="15">
      <c r="I15" s="12" t="inlineStr">
        <is>
          <t>Des</t>
        </is>
      </c>
      <c r="J15" s="12" t="n">
        <v>12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95.86" customWidth="1" min="1" max="1"/>
    <col width="8.710000000000001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28" t="inlineStr">
        <is>
          <t>PANDUAN PENGGUNAAN TEMPLATE BUDGETING</t>
        </is>
      </c>
    </row>
    <row r="3">
      <c r="A3" s="29" t="inlineStr">
        <is>
          <t>1. SETTINGS</t>
        </is>
      </c>
    </row>
    <row r="4" ht="45" customHeight="1">
      <c r="A4" s="42" t="inlineStr">
        <is>
          <t>Atur kategori, sumber pemasukan, rekening bank, dan tipe transaksi yang kamu gunakan. Nama kategori HARUS sama persis dengan yang dipakai di Catatan Pengeluaran.</t>
        </is>
      </c>
    </row>
    <row r="6">
      <c r="A6" s="29" t="inlineStr">
        <is>
          <t>2. BUDGETING TAHUNAN</t>
        </is>
      </c>
    </row>
    <row r="7" ht="45" customHeight="1">
      <c r="A7" s="42" t="inlineStr">
        <is>
          <t>Isi rencana anggaran per kategori untuk tiap bulan. Angka ini digunakan sebagai patokan budget di sheet Ringkasan.</t>
        </is>
      </c>
    </row>
    <row r="9">
      <c r="A9" s="29" t="inlineStr">
        <is>
          <t>3. CATATAN PENGELUARAN</t>
        </is>
      </c>
    </row>
    <row r="10" ht="45" customHeight="1">
      <c r="A10" s="42" t="inlineStr">
        <is>
          <t>Catat SETIAP transaksi (pemasukan maupun pengeluaran). Kolom Bulan (H) akan terisi otomatis. Jangan hapus atau pindahkan kolom H.</t>
        </is>
      </c>
    </row>
    <row r="12">
      <c r="A12" s="29" t="inlineStr">
        <is>
          <t>4. RINGKASAN BUDGETING</t>
        </is>
      </c>
    </row>
    <row r="13" ht="45" customHeight="1">
      <c r="A13" s="42" t="inlineStr">
        <is>
          <t>Pilih bulan di sel B3, lalu tabel otomatis membandingkan budget (dari Budgeting Tahunan) vs realisasi (dari Catatan Pengeluaran).</t>
        </is>
      </c>
    </row>
    <row r="15">
      <c r="A15" s="29" t="inlineStr">
        <is>
          <t>5. TRACKER ASET</t>
        </is>
      </c>
    </row>
    <row r="16" ht="45" customHeight="1">
      <c r="A16" s="42" t="inlineStr">
        <is>
          <t>Catat aset likuid (tabungan, e-wallet, tunai) dan non-likuid (emas, saham, crypto, dll). Update secara berkala untuk memantau perkembangan kekayaan.</t>
        </is>
      </c>
    </row>
    <row r="18">
      <c r="A18" s="29" t="inlineStr">
        <is>
          <t>6. DASHBOARD LAPORAN</t>
        </is>
      </c>
    </row>
    <row r="19" ht="45" customHeight="1">
      <c r="A19" s="42" t="inlineStr">
        <is>
          <t>Pilih bulan di sel B3 untuk melihat ringkasan Pemasukan, Pengeluaran, Tabungan, dan Sisa Budget bulan tersebut, beserta trend tahunan.</t>
        </is>
      </c>
    </row>
    <row r="21" ht="15.75" customHeight="1">
      <c r="A21" s="29" t="inlineStr">
        <is>
          <t>CATATAN PENTING</t>
        </is>
      </c>
    </row>
    <row r="22" ht="15.75" customHeight="1">
      <c r="A22" s="42" t="inlineStr">
        <is>
          <t>Jangan hapus/pindah kolom H (Bulan) di Catatan Pengeluaran. Kolom ini digunakan oleh semua formula di Dashboard dan Ringkasan untuk memfilter data per bulan.</t>
        </is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D1"/>
    <mergeCell ref="A22:D22"/>
    <mergeCell ref="A4:D4"/>
    <mergeCell ref="A7:D7"/>
    <mergeCell ref="A16:D16"/>
    <mergeCell ref="A19:D19"/>
    <mergeCell ref="A10:D10"/>
    <mergeCell ref="A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2026-07-24T01:15:51Z</dcterms:created>
  <dcterms:modified xsi:type="dcterms:W3CDTF">2026-07-24T01:15:52Z</dcterms:modified>
</cp:coreProperties>
</file>